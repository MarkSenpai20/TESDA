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3/Answers/"/>
    </mc:Choice>
  </mc:AlternateContent>
  <xr:revisionPtr revIDLastSave="9" documentId="11_3942388BE9AC3879DF3525BB5B777CBD8A66A01B" xr6:coauthVersionLast="47" xr6:coauthVersionMax="47" xr10:uidLastSave="{31A5C871-78C6-4E3E-9F9E-7A2E5A4551F6}"/>
  <bookViews>
    <workbookView xWindow="-120" yWindow="-120" windowWidth="29040" windowHeight="15720" tabRatio="500" activeTab="3" xr2:uid="{00000000-000D-0000-FFFF-FFFF00000000}"/>
  </bookViews>
  <sheets>
    <sheet name="Instructions" sheetId="1" r:id="rId1"/>
    <sheet name="Sales Data" sheetId="2" r:id="rId2"/>
    <sheet name="Analysis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4" l="1"/>
  <c r="E19" i="4"/>
  <c r="E18" i="4"/>
  <c r="E17" i="4"/>
  <c r="E16" i="4"/>
  <c r="E15" i="4"/>
  <c r="H14" i="4"/>
  <c r="E14" i="4"/>
  <c r="H13" i="4"/>
  <c r="E13" i="4"/>
  <c r="H12" i="4"/>
  <c r="E12" i="4"/>
  <c r="B12" i="4"/>
  <c r="H11" i="4"/>
  <c r="E11" i="4"/>
  <c r="B11" i="4"/>
  <c r="H10" i="4"/>
  <c r="E10" i="4"/>
  <c r="B10" i="4"/>
  <c r="E6" i="4" s="1"/>
  <c r="H9" i="4"/>
  <c r="E9" i="4"/>
  <c r="B9" i="4"/>
  <c r="G6" i="4"/>
  <c r="C6" i="4"/>
  <c r="A6" i="4"/>
  <c r="B12" i="3"/>
  <c r="B11" i="3"/>
  <c r="B10" i="3"/>
  <c r="B7" i="3"/>
  <c r="B6" i="3"/>
  <c r="B5" i="3"/>
</calcChain>
</file>

<file path=xl/sharedStrings.xml><?xml version="1.0" encoding="utf-8"?>
<sst xmlns="http://schemas.openxmlformats.org/spreadsheetml/2006/main" count="238" uniqueCount="129">
  <si>
    <t>Day 04 — Core 1 Assessment: Statistical Analysis Report</t>
  </si>
  <si>
    <t>Data Analytics Level III | Summative Assessment</t>
  </si>
  <si>
    <t>INSTRUCTIONS:</t>
  </si>
  <si>
    <t>This is your Core 1 summative assessment. Using the dataset provided,</t>
  </si>
  <si>
    <t>create a complete statistical analysis report in Excel.</t>
  </si>
  <si>
    <t>YOUR REPORT MUST INCLUDE:</t>
  </si>
  <si>
    <t>1. CENTRAL TENDENCY (Sheet: 'Analysis')</t>
  </si>
  <si>
    <t xml:space="preserve">   • Mean, Median, Mode for the Sales Amount column</t>
  </si>
  <si>
    <t xml:space="preserve">   • Mean, Median, Mode for the Units Sold column</t>
  </si>
  <si>
    <t>2. CHARTS (Sheet: 'Dashboard')</t>
  </si>
  <si>
    <t xml:space="preserve">   • Bar chart: Sales by Product Category</t>
  </si>
  <si>
    <t xml:space="preserve">   • Line chart: Monthly sales trend</t>
  </si>
  <si>
    <t xml:space="preserve">   • Histogram: Distribution of Sales Amounts</t>
  </si>
  <si>
    <t>3. KPI SUMMARY (Sheet: 'Dashboard')</t>
  </si>
  <si>
    <t xml:space="preserve">   • Total Revenue, Average Sale, Top Category, Number of Transactions</t>
  </si>
  <si>
    <t xml:space="preserve">   • Use conditional formatting (data bars or icon sets) on at least one section</t>
  </si>
  <si>
    <t>4. INTERPRETATION (Sheet: 'Dashboard')</t>
  </si>
  <si>
    <t xml:space="preserve">   • Write a 5-7 sentence executive summary interpreting your findings</t>
  </si>
  <si>
    <t>Save as: Day04_Core1_Assessment_[YourName].xlsx</t>
  </si>
  <si>
    <t>Upload to LMS before the next session.</t>
  </si>
  <si>
    <t>Mang Tomas Trading — Quarterly Sales Data (Q1-Q4 2025)</t>
  </si>
  <si>
    <t>Transaction ID</t>
  </si>
  <si>
    <t>Month</t>
  </si>
  <si>
    <t>Product Category</t>
  </si>
  <si>
    <t>Product Name</t>
  </si>
  <si>
    <t>Units Sold</t>
  </si>
  <si>
    <t>Sales Amount (₱)</t>
  </si>
  <si>
    <t>TXN-001</t>
  </si>
  <si>
    <t>January</t>
  </si>
  <si>
    <t>Groceries</t>
  </si>
  <si>
    <t>Rice (25kg)</t>
  </si>
  <si>
    <t>TXN-002</t>
  </si>
  <si>
    <t>Beverages</t>
  </si>
  <si>
    <t>Softdrinks (case)</t>
  </si>
  <si>
    <t>TXN-003</t>
  </si>
  <si>
    <t>Snacks</t>
  </si>
  <si>
    <t>Chips (box)</t>
  </si>
  <si>
    <t>TXN-004</t>
  </si>
  <si>
    <t>February</t>
  </si>
  <si>
    <t>Cooking Oil (case)</t>
  </si>
  <si>
    <t>TXN-005</t>
  </si>
  <si>
    <t>Personal Care</t>
  </si>
  <si>
    <t>Shampoo Sachets (box)</t>
  </si>
  <si>
    <t>TXN-006</t>
  </si>
  <si>
    <t>Coffee 3-in-1 (box)</t>
  </si>
  <si>
    <t>TXN-007</t>
  </si>
  <si>
    <t>March</t>
  </si>
  <si>
    <t>Biscuits (box)</t>
  </si>
  <si>
    <t>TXN-008</t>
  </si>
  <si>
    <t>Canned Goods (case)</t>
  </si>
  <si>
    <t>TXN-009</t>
  </si>
  <si>
    <t>Soap (box)</t>
  </si>
  <si>
    <t>TXN-010</t>
  </si>
  <si>
    <t>April</t>
  </si>
  <si>
    <t>TXN-011</t>
  </si>
  <si>
    <t>Juice (case)</t>
  </si>
  <si>
    <t>TXN-012</t>
  </si>
  <si>
    <t>Candy (box)</t>
  </si>
  <si>
    <t>TXN-013</t>
  </si>
  <si>
    <t>May</t>
  </si>
  <si>
    <t>Sugar (sack)</t>
  </si>
  <si>
    <t>TXN-014</t>
  </si>
  <si>
    <t>TXN-015</t>
  </si>
  <si>
    <t>Toothpaste (box)</t>
  </si>
  <si>
    <t>TXN-016</t>
  </si>
  <si>
    <t>June</t>
  </si>
  <si>
    <t>TXN-017</t>
  </si>
  <si>
    <t>Instant Noodles (case)</t>
  </si>
  <si>
    <t>TXN-018</t>
  </si>
  <si>
    <t>TXN-019</t>
  </si>
  <si>
    <t>July</t>
  </si>
  <si>
    <t>TXN-020</t>
  </si>
  <si>
    <t>Detergent Sachets (box)</t>
  </si>
  <si>
    <t>TXN-021</t>
  </si>
  <si>
    <t>TXN-022</t>
  </si>
  <si>
    <t>August</t>
  </si>
  <si>
    <t>TXN-023</t>
  </si>
  <si>
    <t>TXN-024</t>
  </si>
  <si>
    <t>TXN-025</t>
  </si>
  <si>
    <t>September</t>
  </si>
  <si>
    <t>TXN-026</t>
  </si>
  <si>
    <t>TXN-027</t>
  </si>
  <si>
    <t>TXN-028</t>
  </si>
  <si>
    <t>October</t>
  </si>
  <si>
    <t>TXN-029</t>
  </si>
  <si>
    <t>TXN-030</t>
  </si>
  <si>
    <t>TXN-031</t>
  </si>
  <si>
    <t>November</t>
  </si>
  <si>
    <t>TXN-032</t>
  </si>
  <si>
    <t>TXN-033</t>
  </si>
  <si>
    <t>TXN-034</t>
  </si>
  <si>
    <t>TXN-035</t>
  </si>
  <si>
    <t>December</t>
  </si>
  <si>
    <t>TXN-036</t>
  </si>
  <si>
    <t>Holiday Gift Basket</t>
  </si>
  <si>
    <t>TXN-037</t>
  </si>
  <si>
    <t>TXN-038</t>
  </si>
  <si>
    <t>TXN-039</t>
  </si>
  <si>
    <t>Gift Set Shampoo</t>
  </si>
  <si>
    <t>TXN-040</t>
  </si>
  <si>
    <t>STATISTICAL ANALYSIS — Central Tendency</t>
  </si>
  <si>
    <t>Mang Tomas Trading | Core 1 Summative Assessment | Prepared by: Mark Jhon Angelo Llanes Cruz</t>
  </si>
  <si>
    <t>SALES AMOUNT (₱)</t>
  </si>
  <si>
    <t>Mean</t>
  </si>
  <si>
    <t>Median</t>
  </si>
  <si>
    <t>Mode</t>
  </si>
  <si>
    <t>UNITS SOLD</t>
  </si>
  <si>
    <t>Note</t>
  </si>
  <si>
    <t>SALES PERFORMANCE DASHBOARD</t>
  </si>
  <si>
    <t>Mang Tomas Trading — Q1–Q4 2025 | Prepared by: Mark Jhon Angelo Llanes Cruz</t>
  </si>
  <si>
    <t>KPI SUMMARY</t>
  </si>
  <si>
    <t>Total Revenue</t>
  </si>
  <si>
    <t>Average Sale</t>
  </si>
  <si>
    <t>Top Category</t>
  </si>
  <si>
    <t>Transactions</t>
  </si>
  <si>
    <t>Total Sales (₱)</t>
  </si>
  <si>
    <t>Sales Amount Range</t>
  </si>
  <si>
    <t>Frequency</t>
  </si>
  <si>
    <t>₱0–2,499</t>
  </si>
  <si>
    <t>₱2,500–4,999</t>
  </si>
  <si>
    <t>₱5,000–7,499</t>
  </si>
  <si>
    <t>₱7,500–9,999</t>
  </si>
  <si>
    <t>₱10,000–12,499</t>
  </si>
  <si>
    <t>₱12,500+</t>
  </si>
  <si>
    <t>EXECUTIVE SUMMARY</t>
  </si>
  <si>
    <t>REFLECTION</t>
  </si>
  <si>
    <t>Mang Tomas Trading generated a total revenue of ₱189,430 across 40 transactions in the year 2025 for an average sale of ₱4,735.75. 
Groceries is/are clearly the top-performing category ranging at ₱96,100 (about 51% revenue); followed by Beverages (₱55,760); Snacks (₱23,640); and Personal Care (₱13,930). 
The monthly trend rises toward year-end, peak sharply in December ranging at ₱55,700... driven by holiday demand including single ₱22,500 basket gift. 
For Sales Amount, the Mean (₱4,735.75) sits well above Median (₱3,600), tells us that a small number of large transactions inflates the average while typical sale is closer to ₱3,600. 
Units Sold behaves more normally, with the Mean (~21) and its Median (20), nearly equal. Overall, the business is groceryled and strongly seasonal, furthermore, inventory &amp; staffing should be scaled up for theb upcoming Q4 holiday surge.</t>
  </si>
  <si>
    <t>The conditional formatting style I found most useful was:
- The data bars on the category totals --&gt; because they instantly show you how dominant Groceries is compared to the other categories w/o me having to read every number. 
Looking at this line chart, December had the highest sales (₱55,700); this is best explained by holiday season demand &amp; bulk/gift purchases such as the: ₱22,500 Holiday Gift Basket &amp; higher softdrink &amp; rice volumes.</t>
  </si>
  <si>
    <t>For Sales Amount the Mean (~₱4,736) is higher than its Median (₱3,600), showing average is pulled up by a few large transactions (e.g. the ₱22,500 December gift basket). 
Its typical transaction is closer to the Median. Units Sold Mean &amp; Median are very close (~20-21), indicating a fairly symmetric distribution of quantities.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</si>
</sst>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₱#,##0.00"/>
    <numFmt numFmtId="165" formatCode="\₱#,##0"/>
  </numFmts>
  <fonts count="18" x14ac:knownFonts="1">
    <font>
      <sz val="11"/>
      <color theme="1"/>
      <name val="Calibri"/>
      <family val="2"/>
      <charset val="1"/>
    </font>
    <font>
      <b/>
      <sz val="16"/>
      <color rgb="FF1B3A5C"/>
      <name val="Calibri"/>
      <charset val="1"/>
    </font>
    <font>
      <sz val="12"/>
      <color rgb="FF2E75B6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4"/>
      <color rgb="FF1B3A5C"/>
      <name val="Calibri"/>
      <charset val="1"/>
    </font>
    <font>
      <b/>
      <sz val="11"/>
      <color rgb="FFFFFFFF"/>
      <name val="Calibri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8"/>
      <color rgb="FF1F3864"/>
      <name val="Arial"/>
      <charset val="1"/>
    </font>
    <font>
      <b/>
      <sz val="12"/>
      <color rgb="FFFFFFFF"/>
      <name val="Arial"/>
      <charset val="1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D6E4F0"/>
        <bgColor rgb="FFD9E1F2"/>
      </patternFill>
    </fill>
    <fill>
      <patternFill patternType="solid">
        <fgColor rgb="FF1F3864"/>
        <bgColor rgb="FF1B3A5C"/>
      </patternFill>
    </fill>
    <fill>
      <patternFill patternType="solid">
        <fgColor rgb="FF2E5496"/>
        <bgColor rgb="FF2E75B6"/>
      </patternFill>
    </fill>
    <fill>
      <patternFill patternType="solid">
        <fgColor rgb="FFD9E1F2"/>
        <bgColor rgb="FFD6E4F0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0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right"/>
    </xf>
    <xf numFmtId="2" fontId="11" fillId="0" borderId="2" xfId="0" applyNumberFormat="1" applyFont="1" applyBorder="1" applyAlignment="1">
      <alignment horizontal="right"/>
    </xf>
    <xf numFmtId="1" fontId="11" fillId="0" borderId="2" xfId="0" applyNumberFormat="1" applyFont="1" applyBorder="1" applyAlignment="1">
      <alignment horizontal="right"/>
    </xf>
    <xf numFmtId="0" fontId="12" fillId="0" borderId="0" xfId="0" applyFont="1"/>
    <xf numFmtId="0" fontId="14" fillId="0" borderId="0" xfId="0" applyFont="1"/>
    <xf numFmtId="0" fontId="9" fillId="5" borderId="2" xfId="0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right"/>
    </xf>
    <xf numFmtId="0" fontId="17" fillId="0" borderId="0" xfId="0" applyFont="1"/>
    <xf numFmtId="0" fontId="9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165" fontId="16" fillId="6" borderId="2" xfId="0" applyNumberFormat="1" applyFont="1" applyFill="1" applyBorder="1" applyAlignment="1">
      <alignment horizontal="center" vertical="center"/>
    </xf>
    <xf numFmtId="164" fontId="16" fillId="6" borderId="2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1" fontId="16" fillId="6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9CC00"/>
      <rgbColor rgb="FFFFCC00"/>
      <rgbColor rgb="FFFF9900"/>
      <rgbColor rgb="FFFF6600"/>
      <rgbColor rgb="FF595959"/>
      <rgbColor rgb="FFB0B0B0"/>
      <rgbColor rgb="FF1B3A5C"/>
      <rgbColor rgb="FF4F81BD"/>
      <rgbColor rgb="FF003300"/>
      <rgbColor rgb="FF333300"/>
      <rgbColor rgb="FF993300"/>
      <rgbColor rgb="FF993366"/>
      <rgbColor rgb="FF2E549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 Sales (₱)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Dashboard!$A$9:$A$12</c:f>
              <c:strCache>
                <c:ptCount val="4"/>
                <c:pt idx="0">
                  <c:v>Groceries</c:v>
                </c:pt>
                <c:pt idx="1">
                  <c:v>Beverages</c:v>
                </c:pt>
                <c:pt idx="2">
                  <c:v>Snacks</c:v>
                </c:pt>
                <c:pt idx="3">
                  <c:v>Personal Care</c:v>
                </c:pt>
              </c:strCache>
            </c:strRef>
          </c:cat>
          <c:val>
            <c:numRef>
              <c:f>Dashboard!$B$9:$B$12</c:f>
              <c:numCache>
                <c:formatCode>\₱#,##0</c:formatCode>
                <c:ptCount val="4"/>
                <c:pt idx="0">
                  <c:v>96100</c:v>
                </c:pt>
                <c:pt idx="1">
                  <c:v>55760</c:v>
                </c:pt>
                <c:pt idx="2">
                  <c:v>23640</c:v>
                </c:pt>
                <c:pt idx="3">
                  <c:v>13930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4E04-8B54-5F78592A3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28437"/>
        <c:axId val="72077576"/>
      </c:barChart>
      <c:catAx>
        <c:axId val="70228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077576"/>
        <c:crosses val="autoZero"/>
        <c:auto val="1"/>
        <c:lblAlgn val="ctr"/>
        <c:lblOffset val="100"/>
        <c:noMultiLvlLbl val="0"/>
      </c:catAx>
      <c:valAx>
        <c:axId val="72077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2284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Total Sales (₱)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Dashboard!$E$9:$E$20</c:f>
              <c:numCache>
                <c:formatCode>\₱#,##0</c:formatCode>
                <c:ptCount val="12"/>
                <c:pt idx="0">
                  <c:v>14250</c:v>
                </c:pt>
                <c:pt idx="1">
                  <c:v>9650</c:v>
                </c:pt>
                <c:pt idx="2">
                  <c:v>7940</c:v>
                </c:pt>
                <c:pt idx="3">
                  <c:v>13030</c:v>
                </c:pt>
                <c:pt idx="4">
                  <c:v>10100</c:v>
                </c:pt>
                <c:pt idx="5">
                  <c:v>10300</c:v>
                </c:pt>
                <c:pt idx="6">
                  <c:v>13080</c:v>
                </c:pt>
                <c:pt idx="7">
                  <c:v>11000</c:v>
                </c:pt>
                <c:pt idx="8">
                  <c:v>11080</c:v>
                </c:pt>
                <c:pt idx="9">
                  <c:v>17400</c:v>
                </c:pt>
                <c:pt idx="10">
                  <c:v>15900</c:v>
                </c:pt>
                <c:pt idx="11">
                  <c:v>55700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D3-4818-B940-7CCB3DA57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961386"/>
        <c:axId val="24889527"/>
      </c:lineChart>
      <c:catAx>
        <c:axId val="66961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889527"/>
        <c:crosses val="autoZero"/>
        <c:auto val="1"/>
        <c:lblAlgn val="ctr"/>
        <c:lblOffset val="100"/>
        <c:noMultiLvlLbl val="0"/>
      </c:catAx>
      <c:valAx>
        <c:axId val="24889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9613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Distribution of Sales Amounts (Histogram)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BACC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Dashboard!$G$9:$G$14</c:f>
              <c:strCache>
                <c:ptCount val="6"/>
                <c:pt idx="0">
                  <c:v>₱0–2,499</c:v>
                </c:pt>
                <c:pt idx="1">
                  <c:v>₱2,500–4,999</c:v>
                </c:pt>
                <c:pt idx="2">
                  <c:v>₱5,000–7,499</c:v>
                </c:pt>
                <c:pt idx="3">
                  <c:v>₱7,500–9,999</c:v>
                </c:pt>
                <c:pt idx="4">
                  <c:v>₱10,000–12,499</c:v>
                </c:pt>
                <c:pt idx="5">
                  <c:v>₱12,500+</c:v>
                </c:pt>
              </c:strCache>
            </c:strRef>
          </c:cat>
          <c:val>
            <c:numRef>
              <c:f>Dashboard!$H$9:$H$14</c:f>
              <c:numCache>
                <c:formatCode>0</c:formatCode>
                <c:ptCount val="6"/>
                <c:pt idx="0">
                  <c:v>11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E-4DBE-A819-B9AA5E8F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8535875"/>
        <c:axId val="69757031"/>
      </c:barChart>
      <c:catAx>
        <c:axId val="98535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Amount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9757031"/>
        <c:crosses val="autoZero"/>
        <c:auto val="1"/>
        <c:lblAlgn val="ctr"/>
        <c:lblOffset val="100"/>
        <c:noMultiLvlLbl val="0"/>
      </c:catAx>
      <c:valAx>
        <c:axId val="69757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5358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4</xdr:col>
      <xdr:colOff>152640</xdr:colOff>
      <xdr:row>36</xdr:row>
      <xdr:rowOff>31680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308520</xdr:colOff>
      <xdr:row>36</xdr:row>
      <xdr:rowOff>31680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4</xdr:col>
      <xdr:colOff>872640</xdr:colOff>
      <xdr:row>53</xdr:row>
      <xdr:rowOff>32040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4" zoomScaleNormal="100" workbookViewId="0">
      <selection activeCell="A12" sqref="A12"/>
    </sheetView>
  </sheetViews>
  <sheetFormatPr defaultColWidth="8.7109375" defaultRowHeight="15" x14ac:dyDescent="0.25"/>
  <cols>
    <col min="1" max="1" width="80" customWidth="1"/>
  </cols>
  <sheetData>
    <row r="1" spans="1:6" ht="19.5" customHeight="1" x14ac:dyDescent="0.35">
      <c r="A1" s="21" t="s">
        <v>0</v>
      </c>
      <c r="B1" s="21"/>
      <c r="C1" s="21"/>
      <c r="D1" s="21"/>
      <c r="E1" s="21"/>
      <c r="F1" s="21"/>
    </row>
    <row r="2" spans="1:6" ht="15" customHeight="1" x14ac:dyDescent="0.25">
      <c r="A2" s="22" t="s">
        <v>1</v>
      </c>
      <c r="B2" s="22"/>
      <c r="C2" s="22"/>
      <c r="D2" s="22"/>
      <c r="E2" s="22"/>
      <c r="F2" s="22"/>
    </row>
    <row r="4" spans="1:6" ht="15" customHeight="1" x14ac:dyDescent="0.25">
      <c r="A4" s="1"/>
    </row>
    <row r="5" spans="1:6" ht="15" customHeight="1" x14ac:dyDescent="0.25">
      <c r="A5" s="2" t="s">
        <v>2</v>
      </c>
    </row>
    <row r="6" spans="1:6" ht="15" customHeight="1" x14ac:dyDescent="0.25">
      <c r="A6" s="1"/>
    </row>
    <row r="7" spans="1:6" ht="15" customHeight="1" x14ac:dyDescent="0.25">
      <c r="A7" s="1" t="s">
        <v>3</v>
      </c>
    </row>
    <row r="8" spans="1:6" ht="15" customHeight="1" x14ac:dyDescent="0.25">
      <c r="A8" s="1" t="s">
        <v>4</v>
      </c>
    </row>
    <row r="9" spans="1:6" ht="15" customHeight="1" x14ac:dyDescent="0.25">
      <c r="A9" s="1"/>
    </row>
    <row r="10" spans="1:6" ht="15" customHeight="1" x14ac:dyDescent="0.25">
      <c r="A10" s="2" t="s">
        <v>5</v>
      </c>
    </row>
    <row r="11" spans="1:6" ht="15" customHeight="1" x14ac:dyDescent="0.25">
      <c r="A11" s="1"/>
    </row>
    <row r="12" spans="1:6" ht="15" customHeight="1" x14ac:dyDescent="0.25">
      <c r="A12" s="2" t="s">
        <v>6</v>
      </c>
    </row>
    <row r="13" spans="1:6" ht="15" customHeight="1" x14ac:dyDescent="0.25">
      <c r="A13" s="1" t="s">
        <v>7</v>
      </c>
    </row>
    <row r="14" spans="1:6" ht="15" customHeight="1" x14ac:dyDescent="0.25">
      <c r="A14" s="1" t="s">
        <v>8</v>
      </c>
    </row>
    <row r="15" spans="1:6" ht="15" customHeight="1" x14ac:dyDescent="0.25">
      <c r="A15" s="1"/>
    </row>
    <row r="16" spans="1:6" ht="15" customHeight="1" x14ac:dyDescent="0.25">
      <c r="A16" s="2" t="s">
        <v>9</v>
      </c>
    </row>
    <row r="17" spans="1:1" ht="15" customHeight="1" x14ac:dyDescent="0.25">
      <c r="A17" s="1" t="s">
        <v>10</v>
      </c>
    </row>
    <row r="18" spans="1:1" ht="15" customHeight="1" x14ac:dyDescent="0.25">
      <c r="A18" s="1" t="s">
        <v>11</v>
      </c>
    </row>
    <row r="19" spans="1:1" ht="15" customHeight="1" x14ac:dyDescent="0.25">
      <c r="A19" s="1" t="s">
        <v>12</v>
      </c>
    </row>
    <row r="20" spans="1:1" ht="15" customHeight="1" x14ac:dyDescent="0.25">
      <c r="A20" s="1"/>
    </row>
    <row r="21" spans="1:1" ht="15" customHeight="1" x14ac:dyDescent="0.25">
      <c r="A21" s="2" t="s">
        <v>13</v>
      </c>
    </row>
    <row r="22" spans="1:1" ht="15" customHeight="1" x14ac:dyDescent="0.25">
      <c r="A22" s="1" t="s">
        <v>14</v>
      </c>
    </row>
    <row r="23" spans="1:1" ht="15" customHeight="1" x14ac:dyDescent="0.25">
      <c r="A23" s="1" t="s">
        <v>15</v>
      </c>
    </row>
    <row r="24" spans="1:1" ht="15" customHeight="1" x14ac:dyDescent="0.25">
      <c r="A24" s="1"/>
    </row>
    <row r="25" spans="1:1" ht="15" customHeight="1" x14ac:dyDescent="0.25">
      <c r="A25" s="2" t="s">
        <v>16</v>
      </c>
    </row>
    <row r="26" spans="1:1" ht="15" customHeight="1" x14ac:dyDescent="0.25">
      <c r="A26" s="1" t="s">
        <v>17</v>
      </c>
    </row>
    <row r="27" spans="1:1" ht="15" customHeight="1" x14ac:dyDescent="0.25">
      <c r="A27" s="1"/>
    </row>
    <row r="28" spans="1:1" ht="15" customHeight="1" x14ac:dyDescent="0.25">
      <c r="A28" s="2" t="s">
        <v>18</v>
      </c>
    </row>
    <row r="29" spans="1:1" ht="15" customHeight="1" x14ac:dyDescent="0.25">
      <c r="A29" s="1" t="s">
        <v>19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14" customWidth="1"/>
    <col min="2" max="2" width="12" customWidth="1"/>
    <col min="3" max="3" width="16" customWidth="1"/>
    <col min="4" max="4" width="28" customWidth="1"/>
    <col min="5" max="5" width="12" customWidth="1"/>
    <col min="6" max="6" width="18" customWidth="1"/>
  </cols>
  <sheetData>
    <row r="1" spans="1:6" ht="17.25" customHeight="1" x14ac:dyDescent="0.3">
      <c r="A1" s="23" t="s">
        <v>20</v>
      </c>
      <c r="B1" s="23"/>
      <c r="C1" s="23"/>
      <c r="D1" s="23"/>
      <c r="E1" s="23"/>
      <c r="F1" s="23"/>
    </row>
    <row r="3" spans="1:6" ht="15" customHeight="1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</row>
    <row r="4" spans="1:6" ht="15" customHeight="1" x14ac:dyDescent="0.25">
      <c r="A4" s="4" t="s">
        <v>27</v>
      </c>
      <c r="B4" s="4" t="s">
        <v>28</v>
      </c>
      <c r="C4" s="4" t="s">
        <v>29</v>
      </c>
      <c r="D4" s="4" t="s">
        <v>30</v>
      </c>
      <c r="E4" s="4">
        <v>12</v>
      </c>
      <c r="F4" s="5">
        <v>7200</v>
      </c>
    </row>
    <row r="5" spans="1:6" ht="15" customHeight="1" x14ac:dyDescent="0.25">
      <c r="A5" s="6" t="s">
        <v>31</v>
      </c>
      <c r="B5" s="6" t="s">
        <v>28</v>
      </c>
      <c r="C5" s="6" t="s">
        <v>32</v>
      </c>
      <c r="D5" s="6" t="s">
        <v>33</v>
      </c>
      <c r="E5" s="6">
        <v>20</v>
      </c>
      <c r="F5" s="7">
        <v>4800</v>
      </c>
    </row>
    <row r="6" spans="1:6" ht="15" customHeight="1" x14ac:dyDescent="0.25">
      <c r="A6" s="4" t="s">
        <v>34</v>
      </c>
      <c r="B6" s="4" t="s">
        <v>28</v>
      </c>
      <c r="C6" s="4" t="s">
        <v>35</v>
      </c>
      <c r="D6" s="4" t="s">
        <v>36</v>
      </c>
      <c r="E6" s="4">
        <v>15</v>
      </c>
      <c r="F6" s="5">
        <v>2250</v>
      </c>
    </row>
    <row r="7" spans="1:6" ht="15" customHeight="1" x14ac:dyDescent="0.25">
      <c r="A7" s="6" t="s">
        <v>37</v>
      </c>
      <c r="B7" s="6" t="s">
        <v>38</v>
      </c>
      <c r="C7" s="6" t="s">
        <v>29</v>
      </c>
      <c r="D7" s="6" t="s">
        <v>39</v>
      </c>
      <c r="E7" s="6">
        <v>8</v>
      </c>
      <c r="F7" s="7">
        <v>4800</v>
      </c>
    </row>
    <row r="8" spans="1:6" ht="15" customHeight="1" x14ac:dyDescent="0.25">
      <c r="A8" s="4" t="s">
        <v>40</v>
      </c>
      <c r="B8" s="4" t="s">
        <v>38</v>
      </c>
      <c r="C8" s="4" t="s">
        <v>41</v>
      </c>
      <c r="D8" s="4" t="s">
        <v>42</v>
      </c>
      <c r="E8" s="4">
        <v>25</v>
      </c>
      <c r="F8" s="5">
        <v>1250</v>
      </c>
    </row>
    <row r="9" spans="1:6" ht="15" customHeight="1" x14ac:dyDescent="0.25">
      <c r="A9" s="6" t="s">
        <v>43</v>
      </c>
      <c r="B9" s="6" t="s">
        <v>38</v>
      </c>
      <c r="C9" s="6" t="s">
        <v>32</v>
      </c>
      <c r="D9" s="6" t="s">
        <v>44</v>
      </c>
      <c r="E9" s="6">
        <v>18</v>
      </c>
      <c r="F9" s="7">
        <v>3600</v>
      </c>
    </row>
    <row r="10" spans="1:6" ht="15" customHeight="1" x14ac:dyDescent="0.25">
      <c r="A10" s="4" t="s">
        <v>45</v>
      </c>
      <c r="B10" s="4" t="s">
        <v>46</v>
      </c>
      <c r="C10" s="4" t="s">
        <v>35</v>
      </c>
      <c r="D10" s="4" t="s">
        <v>47</v>
      </c>
      <c r="E10" s="4">
        <v>22</v>
      </c>
      <c r="F10" s="5">
        <v>2640</v>
      </c>
    </row>
    <row r="11" spans="1:6" ht="15" customHeight="1" x14ac:dyDescent="0.25">
      <c r="A11" s="6" t="s">
        <v>48</v>
      </c>
      <c r="B11" s="6" t="s">
        <v>46</v>
      </c>
      <c r="C11" s="6" t="s">
        <v>29</v>
      </c>
      <c r="D11" s="6" t="s">
        <v>49</v>
      </c>
      <c r="E11" s="6">
        <v>10</v>
      </c>
      <c r="F11" s="7">
        <v>3500</v>
      </c>
    </row>
    <row r="12" spans="1:6" ht="15" customHeight="1" x14ac:dyDescent="0.25">
      <c r="A12" s="4" t="s">
        <v>50</v>
      </c>
      <c r="B12" s="4" t="s">
        <v>46</v>
      </c>
      <c r="C12" s="4" t="s">
        <v>41</v>
      </c>
      <c r="D12" s="4" t="s">
        <v>51</v>
      </c>
      <c r="E12" s="4">
        <v>30</v>
      </c>
      <c r="F12" s="5">
        <v>1800</v>
      </c>
    </row>
    <row r="13" spans="1:6" ht="15" customHeight="1" x14ac:dyDescent="0.25">
      <c r="A13" s="6" t="s">
        <v>52</v>
      </c>
      <c r="B13" s="6" t="s">
        <v>53</v>
      </c>
      <c r="C13" s="6" t="s">
        <v>29</v>
      </c>
      <c r="D13" s="6" t="s">
        <v>30</v>
      </c>
      <c r="E13" s="6">
        <v>14</v>
      </c>
      <c r="F13" s="7">
        <v>8400</v>
      </c>
    </row>
    <row r="14" spans="1:6" ht="15" customHeight="1" x14ac:dyDescent="0.25">
      <c r="A14" s="4" t="s">
        <v>54</v>
      </c>
      <c r="B14" s="4" t="s">
        <v>53</v>
      </c>
      <c r="C14" s="4" t="s">
        <v>32</v>
      </c>
      <c r="D14" s="4" t="s">
        <v>55</v>
      </c>
      <c r="E14" s="4">
        <v>12</v>
      </c>
      <c r="F14" s="5">
        <v>2880</v>
      </c>
    </row>
    <row r="15" spans="1:6" ht="15" customHeight="1" x14ac:dyDescent="0.25">
      <c r="A15" s="6" t="s">
        <v>56</v>
      </c>
      <c r="B15" s="6" t="s">
        <v>53</v>
      </c>
      <c r="C15" s="6" t="s">
        <v>35</v>
      </c>
      <c r="D15" s="6" t="s">
        <v>57</v>
      </c>
      <c r="E15" s="6">
        <v>35</v>
      </c>
      <c r="F15" s="7">
        <v>1750</v>
      </c>
    </row>
    <row r="16" spans="1:6" ht="15" customHeight="1" x14ac:dyDescent="0.25">
      <c r="A16" s="4" t="s">
        <v>58</v>
      </c>
      <c r="B16" s="4" t="s">
        <v>59</v>
      </c>
      <c r="C16" s="4" t="s">
        <v>29</v>
      </c>
      <c r="D16" s="4" t="s">
        <v>60</v>
      </c>
      <c r="E16" s="4">
        <v>6</v>
      </c>
      <c r="F16" s="5">
        <v>2100</v>
      </c>
    </row>
    <row r="17" spans="1:6" ht="15" customHeight="1" x14ac:dyDescent="0.25">
      <c r="A17" s="6" t="s">
        <v>61</v>
      </c>
      <c r="B17" s="6" t="s">
        <v>59</v>
      </c>
      <c r="C17" s="6" t="s">
        <v>32</v>
      </c>
      <c r="D17" s="6" t="s">
        <v>33</v>
      </c>
      <c r="E17" s="6">
        <v>25</v>
      </c>
      <c r="F17" s="7">
        <v>6000</v>
      </c>
    </row>
    <row r="18" spans="1:6" ht="15" customHeight="1" x14ac:dyDescent="0.25">
      <c r="A18" s="4" t="s">
        <v>62</v>
      </c>
      <c r="B18" s="4" t="s">
        <v>59</v>
      </c>
      <c r="C18" s="4" t="s">
        <v>41</v>
      </c>
      <c r="D18" s="4" t="s">
        <v>63</v>
      </c>
      <c r="E18" s="4">
        <v>20</v>
      </c>
      <c r="F18" s="5">
        <v>2000</v>
      </c>
    </row>
    <row r="19" spans="1:6" ht="15" customHeight="1" x14ac:dyDescent="0.25">
      <c r="A19" s="6" t="s">
        <v>64</v>
      </c>
      <c r="B19" s="6" t="s">
        <v>65</v>
      </c>
      <c r="C19" s="6" t="s">
        <v>35</v>
      </c>
      <c r="D19" s="6" t="s">
        <v>36</v>
      </c>
      <c r="E19" s="6">
        <v>18</v>
      </c>
      <c r="F19" s="7">
        <v>2700</v>
      </c>
    </row>
    <row r="20" spans="1:6" ht="15" customHeight="1" x14ac:dyDescent="0.25">
      <c r="A20" s="4" t="s">
        <v>66</v>
      </c>
      <c r="B20" s="4" t="s">
        <v>65</v>
      </c>
      <c r="C20" s="4" t="s">
        <v>29</v>
      </c>
      <c r="D20" s="4" t="s">
        <v>67</v>
      </c>
      <c r="E20" s="4">
        <v>40</v>
      </c>
      <c r="F20" s="5">
        <v>3200</v>
      </c>
    </row>
    <row r="21" spans="1:6" ht="15" customHeight="1" x14ac:dyDescent="0.25">
      <c r="A21" s="6" t="s">
        <v>68</v>
      </c>
      <c r="B21" s="6" t="s">
        <v>65</v>
      </c>
      <c r="C21" s="6" t="s">
        <v>32</v>
      </c>
      <c r="D21" s="6" t="s">
        <v>44</v>
      </c>
      <c r="E21" s="6">
        <v>22</v>
      </c>
      <c r="F21" s="7">
        <v>4400</v>
      </c>
    </row>
    <row r="22" spans="1:6" ht="15" customHeight="1" x14ac:dyDescent="0.25">
      <c r="A22" s="4" t="s">
        <v>69</v>
      </c>
      <c r="B22" s="4" t="s">
        <v>70</v>
      </c>
      <c r="C22" s="4" t="s">
        <v>29</v>
      </c>
      <c r="D22" s="4" t="s">
        <v>30</v>
      </c>
      <c r="E22" s="4">
        <v>15</v>
      </c>
      <c r="F22" s="5">
        <v>9000</v>
      </c>
    </row>
    <row r="23" spans="1:6" ht="15" customHeight="1" x14ac:dyDescent="0.25">
      <c r="A23" s="6" t="s">
        <v>71</v>
      </c>
      <c r="B23" s="6" t="s">
        <v>70</v>
      </c>
      <c r="C23" s="6" t="s">
        <v>41</v>
      </c>
      <c r="D23" s="6" t="s">
        <v>72</v>
      </c>
      <c r="E23" s="6">
        <v>28</v>
      </c>
      <c r="F23" s="7">
        <v>1680</v>
      </c>
    </row>
    <row r="24" spans="1:6" ht="15" customHeight="1" x14ac:dyDescent="0.25">
      <c r="A24" s="4" t="s">
        <v>73</v>
      </c>
      <c r="B24" s="4" t="s">
        <v>70</v>
      </c>
      <c r="C24" s="4" t="s">
        <v>35</v>
      </c>
      <c r="D24" s="4" t="s">
        <v>47</v>
      </c>
      <c r="E24" s="4">
        <v>20</v>
      </c>
      <c r="F24" s="5">
        <v>2400</v>
      </c>
    </row>
    <row r="25" spans="1:6" ht="15" customHeight="1" x14ac:dyDescent="0.25">
      <c r="A25" s="6" t="s">
        <v>74</v>
      </c>
      <c r="B25" s="6" t="s">
        <v>75</v>
      </c>
      <c r="C25" s="6" t="s">
        <v>29</v>
      </c>
      <c r="D25" s="6" t="s">
        <v>39</v>
      </c>
      <c r="E25" s="6">
        <v>10</v>
      </c>
      <c r="F25" s="7">
        <v>6000</v>
      </c>
    </row>
    <row r="26" spans="1:6" ht="15" customHeight="1" x14ac:dyDescent="0.25">
      <c r="A26" s="4" t="s">
        <v>76</v>
      </c>
      <c r="B26" s="4" t="s">
        <v>75</v>
      </c>
      <c r="C26" s="4" t="s">
        <v>32</v>
      </c>
      <c r="D26" s="4" t="s">
        <v>55</v>
      </c>
      <c r="E26" s="4">
        <v>15</v>
      </c>
      <c r="F26" s="5">
        <v>3600</v>
      </c>
    </row>
    <row r="27" spans="1:6" ht="15" customHeight="1" x14ac:dyDescent="0.25">
      <c r="A27" s="6" t="s">
        <v>77</v>
      </c>
      <c r="B27" s="6" t="s">
        <v>75</v>
      </c>
      <c r="C27" s="6" t="s">
        <v>35</v>
      </c>
      <c r="D27" s="6" t="s">
        <v>57</v>
      </c>
      <c r="E27" s="6">
        <v>28</v>
      </c>
      <c r="F27" s="7">
        <v>1400</v>
      </c>
    </row>
    <row r="28" spans="1:6" ht="15" customHeight="1" x14ac:dyDescent="0.25">
      <c r="A28" s="4" t="s">
        <v>78</v>
      </c>
      <c r="B28" s="4" t="s">
        <v>79</v>
      </c>
      <c r="C28" s="4" t="s">
        <v>29</v>
      </c>
      <c r="D28" s="4" t="s">
        <v>49</v>
      </c>
      <c r="E28" s="4">
        <v>12</v>
      </c>
      <c r="F28" s="5">
        <v>4200</v>
      </c>
    </row>
    <row r="29" spans="1:6" ht="15" customHeight="1" x14ac:dyDescent="0.25">
      <c r="A29" s="6" t="s">
        <v>80</v>
      </c>
      <c r="B29" s="6" t="s">
        <v>79</v>
      </c>
      <c r="C29" s="6" t="s">
        <v>41</v>
      </c>
      <c r="D29" s="6" t="s">
        <v>42</v>
      </c>
      <c r="E29" s="6">
        <v>32</v>
      </c>
      <c r="F29" s="7">
        <v>1600</v>
      </c>
    </row>
    <row r="30" spans="1:6" ht="15" customHeight="1" x14ac:dyDescent="0.25">
      <c r="A30" s="4" t="s">
        <v>81</v>
      </c>
      <c r="B30" s="4" t="s">
        <v>79</v>
      </c>
      <c r="C30" s="4" t="s">
        <v>32</v>
      </c>
      <c r="D30" s="4" t="s">
        <v>33</v>
      </c>
      <c r="E30" s="4">
        <v>22</v>
      </c>
      <c r="F30" s="5">
        <v>5280</v>
      </c>
    </row>
    <row r="31" spans="1:6" ht="15" customHeight="1" x14ac:dyDescent="0.25">
      <c r="A31" s="6" t="s">
        <v>82</v>
      </c>
      <c r="B31" s="6" t="s">
        <v>83</v>
      </c>
      <c r="C31" s="6" t="s">
        <v>29</v>
      </c>
      <c r="D31" s="6" t="s">
        <v>30</v>
      </c>
      <c r="E31" s="6">
        <v>16</v>
      </c>
      <c r="F31" s="7">
        <v>9600</v>
      </c>
    </row>
    <row r="32" spans="1:6" ht="15" customHeight="1" x14ac:dyDescent="0.25">
      <c r="A32" s="4" t="s">
        <v>84</v>
      </c>
      <c r="B32" s="4" t="s">
        <v>83</v>
      </c>
      <c r="C32" s="4" t="s">
        <v>35</v>
      </c>
      <c r="D32" s="4" t="s">
        <v>36</v>
      </c>
      <c r="E32" s="4">
        <v>20</v>
      </c>
      <c r="F32" s="5">
        <v>3000</v>
      </c>
    </row>
    <row r="33" spans="1:6" ht="15" customHeight="1" x14ac:dyDescent="0.25">
      <c r="A33" s="6" t="s">
        <v>85</v>
      </c>
      <c r="B33" s="6" t="s">
        <v>83</v>
      </c>
      <c r="C33" s="6" t="s">
        <v>32</v>
      </c>
      <c r="D33" s="6" t="s">
        <v>44</v>
      </c>
      <c r="E33" s="6">
        <v>24</v>
      </c>
      <c r="F33" s="7">
        <v>4800</v>
      </c>
    </row>
    <row r="34" spans="1:6" ht="15" customHeight="1" x14ac:dyDescent="0.25">
      <c r="A34" s="4" t="s">
        <v>86</v>
      </c>
      <c r="B34" s="4" t="s">
        <v>87</v>
      </c>
      <c r="C34" s="4" t="s">
        <v>29</v>
      </c>
      <c r="D34" s="4" t="s">
        <v>67</v>
      </c>
      <c r="E34" s="4">
        <v>45</v>
      </c>
      <c r="F34" s="5">
        <v>3600</v>
      </c>
    </row>
    <row r="35" spans="1:6" ht="15" customHeight="1" x14ac:dyDescent="0.25">
      <c r="A35" s="6" t="s">
        <v>88</v>
      </c>
      <c r="B35" s="6" t="s">
        <v>87</v>
      </c>
      <c r="C35" s="6" t="s">
        <v>41</v>
      </c>
      <c r="D35" s="6" t="s">
        <v>51</v>
      </c>
      <c r="E35" s="6">
        <v>35</v>
      </c>
      <c r="F35" s="7">
        <v>2100</v>
      </c>
    </row>
    <row r="36" spans="1:6" ht="15" customHeight="1" x14ac:dyDescent="0.25">
      <c r="A36" s="4" t="s">
        <v>89</v>
      </c>
      <c r="B36" s="4" t="s">
        <v>87</v>
      </c>
      <c r="C36" s="4" t="s">
        <v>35</v>
      </c>
      <c r="D36" s="4" t="s">
        <v>47</v>
      </c>
      <c r="E36" s="4">
        <v>25</v>
      </c>
      <c r="F36" s="5">
        <v>3000</v>
      </c>
    </row>
    <row r="37" spans="1:6" ht="15" customHeight="1" x14ac:dyDescent="0.25">
      <c r="A37" s="6" t="s">
        <v>90</v>
      </c>
      <c r="B37" s="6" t="s">
        <v>87</v>
      </c>
      <c r="C37" s="6" t="s">
        <v>32</v>
      </c>
      <c r="D37" s="6" t="s">
        <v>33</v>
      </c>
      <c r="E37" s="6">
        <v>30</v>
      </c>
      <c r="F37" s="7">
        <v>7200</v>
      </c>
    </row>
    <row r="38" spans="1:6" ht="15" customHeight="1" x14ac:dyDescent="0.25">
      <c r="A38" s="4" t="s">
        <v>91</v>
      </c>
      <c r="B38" s="4" t="s">
        <v>92</v>
      </c>
      <c r="C38" s="4" t="s">
        <v>29</v>
      </c>
      <c r="D38" s="4" t="s">
        <v>30</v>
      </c>
      <c r="E38" s="4">
        <v>20</v>
      </c>
      <c r="F38" s="5">
        <v>12000</v>
      </c>
    </row>
    <row r="39" spans="1:6" ht="15" customHeight="1" x14ac:dyDescent="0.25">
      <c r="A39" s="6" t="s">
        <v>93</v>
      </c>
      <c r="B39" s="6" t="s">
        <v>92</v>
      </c>
      <c r="C39" s="6" t="s">
        <v>29</v>
      </c>
      <c r="D39" s="6" t="s">
        <v>94</v>
      </c>
      <c r="E39" s="6">
        <v>3</v>
      </c>
      <c r="F39" s="7">
        <v>22500</v>
      </c>
    </row>
    <row r="40" spans="1:6" ht="15" customHeight="1" x14ac:dyDescent="0.25">
      <c r="A40" s="4" t="s">
        <v>95</v>
      </c>
      <c r="B40" s="4" t="s">
        <v>92</v>
      </c>
      <c r="C40" s="4" t="s">
        <v>32</v>
      </c>
      <c r="D40" s="4" t="s">
        <v>33</v>
      </c>
      <c r="E40" s="4">
        <v>35</v>
      </c>
      <c r="F40" s="5">
        <v>8400</v>
      </c>
    </row>
    <row r="41" spans="1:6" ht="15" customHeight="1" x14ac:dyDescent="0.25">
      <c r="A41" s="6" t="s">
        <v>96</v>
      </c>
      <c r="B41" s="6" t="s">
        <v>92</v>
      </c>
      <c r="C41" s="6" t="s">
        <v>35</v>
      </c>
      <c r="D41" s="6" t="s">
        <v>36</v>
      </c>
      <c r="E41" s="6">
        <v>30</v>
      </c>
      <c r="F41" s="7">
        <v>4500</v>
      </c>
    </row>
    <row r="42" spans="1:6" ht="15" customHeight="1" x14ac:dyDescent="0.25">
      <c r="A42" s="4" t="s">
        <v>97</v>
      </c>
      <c r="B42" s="4" t="s">
        <v>92</v>
      </c>
      <c r="C42" s="4" t="s">
        <v>41</v>
      </c>
      <c r="D42" s="4" t="s">
        <v>98</v>
      </c>
      <c r="E42" s="4">
        <v>10</v>
      </c>
      <c r="F42" s="5">
        <v>3500</v>
      </c>
    </row>
    <row r="43" spans="1:6" ht="15" customHeight="1" x14ac:dyDescent="0.25">
      <c r="A43" s="6" t="s">
        <v>99</v>
      </c>
      <c r="B43" s="6" t="s">
        <v>92</v>
      </c>
      <c r="C43" s="6" t="s">
        <v>32</v>
      </c>
      <c r="D43" s="6" t="s">
        <v>55</v>
      </c>
      <c r="E43" s="6">
        <v>20</v>
      </c>
      <c r="F43" s="7">
        <v>4800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>
      <selection activeCell="D19" sqref="D19"/>
    </sheetView>
  </sheetViews>
  <sheetFormatPr defaultColWidth="8.7109375" defaultRowHeight="15" x14ac:dyDescent="0.25"/>
  <cols>
    <col min="1" max="1" width="16" customWidth="1"/>
    <col min="2" max="2" width="18" customWidth="1"/>
    <col min="3" max="6" width="14" customWidth="1"/>
  </cols>
  <sheetData>
    <row r="1" spans="1:6" ht="19.5" customHeight="1" x14ac:dyDescent="0.3">
      <c r="A1" s="8" t="s">
        <v>100</v>
      </c>
    </row>
    <row r="2" spans="1:6" ht="15" customHeight="1" x14ac:dyDescent="0.25">
      <c r="A2" s="9" t="s">
        <v>101</v>
      </c>
    </row>
    <row r="4" spans="1:6" ht="15" customHeight="1" x14ac:dyDescent="0.25">
      <c r="A4" s="19" t="s">
        <v>102</v>
      </c>
      <c r="B4" s="19"/>
    </row>
    <row r="5" spans="1:6" ht="15" customHeight="1" x14ac:dyDescent="0.25">
      <c r="A5" s="10" t="s">
        <v>103</v>
      </c>
      <c r="B5" s="11">
        <f>AVERAGE('Sales Data'!F4:F43)</f>
        <v>4735.75</v>
      </c>
    </row>
    <row r="6" spans="1:6" ht="15" customHeight="1" x14ac:dyDescent="0.25">
      <c r="A6" s="10" t="s">
        <v>104</v>
      </c>
      <c r="B6" s="11">
        <f>MEDIAN('Sales Data'!F4:F43)</f>
        <v>3600</v>
      </c>
    </row>
    <row r="7" spans="1:6" ht="15" customHeight="1" x14ac:dyDescent="0.25">
      <c r="A7" s="10" t="s">
        <v>105</v>
      </c>
      <c r="B7" s="11">
        <f>_xlfn.MODE.SNGL('Sales Data'!F4:F43)</f>
        <v>4800</v>
      </c>
    </row>
    <row r="9" spans="1:6" ht="15" customHeight="1" x14ac:dyDescent="0.25">
      <c r="A9" s="19" t="s">
        <v>106</v>
      </c>
      <c r="B9" s="19"/>
    </row>
    <row r="10" spans="1:6" ht="15" customHeight="1" x14ac:dyDescent="0.25">
      <c r="A10" s="10" t="s">
        <v>103</v>
      </c>
      <c r="B10" s="12">
        <f>AVERAGE('Sales Data'!E4:E43)</f>
        <v>21.175000000000001</v>
      </c>
    </row>
    <row r="11" spans="1:6" ht="15" customHeight="1" x14ac:dyDescent="0.25">
      <c r="A11" s="10" t="s">
        <v>104</v>
      </c>
      <c r="B11" s="12">
        <f>MEDIAN('Sales Data'!E4:E43)</f>
        <v>20</v>
      </c>
    </row>
    <row r="12" spans="1:6" ht="15" customHeight="1" x14ac:dyDescent="0.25">
      <c r="A12" s="10" t="s">
        <v>105</v>
      </c>
      <c r="B12" s="13">
        <f>_xlfn.MODE.SNGL('Sales Data'!E4:E43)</f>
        <v>20</v>
      </c>
    </row>
    <row r="14" spans="1:6" ht="15" customHeight="1" x14ac:dyDescent="0.25">
      <c r="A14" s="14" t="s">
        <v>107</v>
      </c>
    </row>
    <row r="15" spans="1:6" ht="15" customHeight="1" x14ac:dyDescent="0.25">
      <c r="A15" s="20" t="s">
        <v>128</v>
      </c>
      <c r="B15" s="20"/>
      <c r="C15" s="20"/>
      <c r="D15" s="20"/>
      <c r="E15" s="20"/>
      <c r="F15" s="20"/>
    </row>
    <row r="16" spans="1:6" ht="15" customHeight="1" x14ac:dyDescent="0.25">
      <c r="A16" s="20"/>
      <c r="B16" s="20"/>
      <c r="C16" s="20"/>
      <c r="D16" s="20"/>
      <c r="E16" s="20"/>
      <c r="F16" s="20"/>
    </row>
    <row r="17" spans="1:6" ht="15" customHeight="1" x14ac:dyDescent="0.25">
      <c r="A17" s="20"/>
      <c r="B17" s="20"/>
      <c r="C17" s="20"/>
      <c r="D17" s="20"/>
      <c r="E17" s="20"/>
      <c r="F17" s="20"/>
    </row>
    <row r="18" spans="1:6" ht="21.75" customHeight="1" x14ac:dyDescent="0.25">
      <c r="A18" s="20"/>
      <c r="B18" s="20"/>
      <c r="C18" s="20"/>
      <c r="D18" s="20"/>
      <c r="E18" s="20"/>
      <c r="F18" s="20"/>
    </row>
  </sheetData>
  <mergeCells count="3">
    <mergeCell ref="A4:B4"/>
    <mergeCell ref="A9:B9"/>
    <mergeCell ref="A15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62"/>
  <sheetViews>
    <sheetView showGridLines="0" tabSelected="1" zoomScale="115" zoomScaleNormal="115" workbookViewId="0">
      <selection activeCell="I9" sqref="I9"/>
    </sheetView>
  </sheetViews>
  <sheetFormatPr defaultColWidth="8.7109375" defaultRowHeight="15" x14ac:dyDescent="0.25"/>
  <cols>
    <col min="1" max="2" width="16" customWidth="1"/>
    <col min="3" max="3" width="10" customWidth="1"/>
    <col min="4" max="4" width="12" customWidth="1"/>
    <col min="5" max="5" width="16" customWidth="1"/>
    <col min="6" max="6" width="6" customWidth="1"/>
    <col min="7" max="7" width="22.28515625" bestFit="1" customWidth="1"/>
    <col min="8" max="8" width="12" customWidth="1"/>
    <col min="9" max="14" width="10" customWidth="1"/>
  </cols>
  <sheetData>
    <row r="1" spans="1:8" ht="21.75" customHeight="1" x14ac:dyDescent="0.35">
      <c r="A1" s="15" t="s">
        <v>108</v>
      </c>
    </row>
    <row r="2" spans="1:8" ht="15" customHeight="1" x14ac:dyDescent="0.25">
      <c r="A2" s="9" t="s">
        <v>109</v>
      </c>
    </row>
    <row r="4" spans="1:8" ht="15" customHeight="1" x14ac:dyDescent="0.25">
      <c r="A4" s="28" t="s">
        <v>110</v>
      </c>
      <c r="B4" s="28"/>
      <c r="C4" s="28"/>
      <c r="D4" s="28"/>
      <c r="E4" s="28"/>
      <c r="F4" s="28"/>
      <c r="G4" s="28"/>
      <c r="H4" s="28"/>
    </row>
    <row r="5" spans="1:8" ht="15" customHeight="1" x14ac:dyDescent="0.25">
      <c r="A5" s="29" t="s">
        <v>111</v>
      </c>
      <c r="B5" s="29"/>
      <c r="C5" s="29" t="s">
        <v>112</v>
      </c>
      <c r="D5" s="29"/>
      <c r="E5" s="29" t="s">
        <v>113</v>
      </c>
      <c r="F5" s="29"/>
      <c r="G5" s="29" t="s">
        <v>114</v>
      </c>
      <c r="H5" s="29"/>
    </row>
    <row r="6" spans="1:8" ht="27.75" customHeight="1" x14ac:dyDescent="0.25">
      <c r="A6" s="24">
        <f>SUM('Sales Data'!F4:F43)</f>
        <v>189430</v>
      </c>
      <c r="B6" s="24"/>
      <c r="C6" s="25">
        <f>AVERAGE('Sales Data'!F4:F43)</f>
        <v>4735.75</v>
      </c>
      <c r="D6" s="25"/>
      <c r="E6" s="26" t="str">
        <f>INDEX(A9:A12,MATCH(MAX(B9:B12),B9:B12,0))</f>
        <v>Groceries</v>
      </c>
      <c r="F6" s="26"/>
      <c r="G6" s="27">
        <f>COUNTA('Sales Data'!A4:A43)</f>
        <v>40</v>
      </c>
      <c r="H6" s="27"/>
    </row>
    <row r="8" spans="1:8" ht="15" customHeight="1" x14ac:dyDescent="0.25">
      <c r="A8" s="16" t="s">
        <v>23</v>
      </c>
      <c r="B8" s="16" t="s">
        <v>115</v>
      </c>
      <c r="D8" s="16" t="s">
        <v>22</v>
      </c>
      <c r="E8" s="16" t="s">
        <v>115</v>
      </c>
      <c r="G8" s="16" t="s">
        <v>116</v>
      </c>
      <c r="H8" s="16" t="s">
        <v>117</v>
      </c>
    </row>
    <row r="9" spans="1:8" ht="15" customHeight="1" x14ac:dyDescent="0.25">
      <c r="A9" s="10" t="s">
        <v>29</v>
      </c>
      <c r="B9" s="17">
        <f>SUMIF('Sales Data'!$C$4:$C$43,A9,'Sales Data'!$F$4:$F$43)</f>
        <v>96100</v>
      </c>
      <c r="D9" s="10" t="s">
        <v>28</v>
      </c>
      <c r="E9" s="17">
        <f>SUMIF('Sales Data'!$B$4:$B$43,D9,'Sales Data'!$F$4:$F$43)</f>
        <v>14250</v>
      </c>
      <c r="G9" s="10" t="s">
        <v>118</v>
      </c>
      <c r="H9" s="13">
        <f>COUNTIFS('Sales Data'!$F$4:$F$43,"&gt;="&amp;0,'Sales Data'!$F$4:$F$43,"&lt;="&amp;2499)</f>
        <v>11</v>
      </c>
    </row>
    <row r="10" spans="1:8" ht="15" customHeight="1" x14ac:dyDescent="0.25">
      <c r="A10" s="10" t="s">
        <v>32</v>
      </c>
      <c r="B10" s="17">
        <f>SUMIF('Sales Data'!$C$4:$C$43,A10,'Sales Data'!$F$4:$F$43)</f>
        <v>55760</v>
      </c>
      <c r="D10" s="10" t="s">
        <v>38</v>
      </c>
      <c r="E10" s="17">
        <f>SUMIF('Sales Data'!$B$4:$B$43,D10,'Sales Data'!$F$4:$F$43)</f>
        <v>9650</v>
      </c>
      <c r="G10" s="10" t="s">
        <v>119</v>
      </c>
      <c r="H10" s="13">
        <f>COUNTIFS('Sales Data'!$F$4:$F$43,"&gt;="&amp;2500,'Sales Data'!$F$4:$F$43,"&lt;="&amp;4999)</f>
        <v>18</v>
      </c>
    </row>
    <row r="11" spans="1:8" ht="15" customHeight="1" x14ac:dyDescent="0.25">
      <c r="A11" s="10" t="s">
        <v>35</v>
      </c>
      <c r="B11" s="17">
        <f>SUMIF('Sales Data'!$C$4:$C$43,A11,'Sales Data'!$F$4:$F$43)</f>
        <v>23640</v>
      </c>
      <c r="D11" s="10" t="s">
        <v>46</v>
      </c>
      <c r="E11" s="17">
        <f>SUMIF('Sales Data'!$B$4:$B$43,D11,'Sales Data'!$F$4:$F$43)</f>
        <v>7940</v>
      </c>
      <c r="G11" s="10" t="s">
        <v>120</v>
      </c>
      <c r="H11" s="13">
        <f>COUNTIFS('Sales Data'!$F$4:$F$43,"&gt;="&amp;5000,'Sales Data'!$F$4:$F$43,"&lt;="&amp;7499)</f>
        <v>5</v>
      </c>
    </row>
    <row r="12" spans="1:8" ht="15" customHeight="1" x14ac:dyDescent="0.25">
      <c r="A12" s="10" t="s">
        <v>41</v>
      </c>
      <c r="B12" s="17">
        <f>SUMIF('Sales Data'!$C$4:$C$43,A12,'Sales Data'!$F$4:$F$43)</f>
        <v>13930</v>
      </c>
      <c r="D12" s="10" t="s">
        <v>53</v>
      </c>
      <c r="E12" s="17">
        <f>SUMIF('Sales Data'!$B$4:$B$43,D12,'Sales Data'!$F$4:$F$43)</f>
        <v>13030</v>
      </c>
      <c r="G12" s="10" t="s">
        <v>121</v>
      </c>
      <c r="H12" s="13">
        <f>COUNTIFS('Sales Data'!$F$4:$F$43,"&gt;="&amp;7500,'Sales Data'!$F$4:$F$43,"&lt;="&amp;9999)</f>
        <v>4</v>
      </c>
    </row>
    <row r="13" spans="1:8" ht="15" customHeight="1" x14ac:dyDescent="0.25">
      <c r="D13" s="10" t="s">
        <v>59</v>
      </c>
      <c r="E13" s="17">
        <f>SUMIF('Sales Data'!$B$4:$B$43,D13,'Sales Data'!$F$4:$F$43)</f>
        <v>10100</v>
      </c>
      <c r="G13" s="10" t="s">
        <v>122</v>
      </c>
      <c r="H13" s="13">
        <f>COUNTIFS('Sales Data'!$F$4:$F$43,"&gt;="&amp;10000,'Sales Data'!$F$4:$F$43,"&lt;="&amp;12499)</f>
        <v>1</v>
      </c>
    </row>
    <row r="14" spans="1:8" ht="15" customHeight="1" x14ac:dyDescent="0.25">
      <c r="D14" s="10" t="s">
        <v>65</v>
      </c>
      <c r="E14" s="17">
        <f>SUMIF('Sales Data'!$B$4:$B$43,D14,'Sales Data'!$F$4:$F$43)</f>
        <v>10300</v>
      </c>
      <c r="G14" s="10" t="s">
        <v>123</v>
      </c>
      <c r="H14" s="13">
        <f>COUNTIFS('Sales Data'!$F$4:$F$43,"&gt;="&amp;12500,'Sales Data'!$F$4:$F$43,"&lt;="&amp;1000000)</f>
        <v>1</v>
      </c>
    </row>
    <row r="15" spans="1:8" ht="15" customHeight="1" x14ac:dyDescent="0.25">
      <c r="D15" s="10" t="s">
        <v>70</v>
      </c>
      <c r="E15" s="17">
        <f>SUMIF('Sales Data'!$B$4:$B$43,D15,'Sales Data'!$F$4:$F$43)</f>
        <v>13080</v>
      </c>
    </row>
    <row r="16" spans="1:8" ht="15" customHeight="1" x14ac:dyDescent="0.25">
      <c r="D16" s="10" t="s">
        <v>75</v>
      </c>
      <c r="E16" s="17">
        <f>SUMIF('Sales Data'!$B$4:$B$43,D16,'Sales Data'!$F$4:$F$43)</f>
        <v>11000</v>
      </c>
    </row>
    <row r="17" spans="4:5" ht="15" customHeight="1" x14ac:dyDescent="0.25">
      <c r="D17" s="10" t="s">
        <v>79</v>
      </c>
      <c r="E17" s="17">
        <f>SUMIF('Sales Data'!$B$4:$B$43,D17,'Sales Data'!$F$4:$F$43)</f>
        <v>11080</v>
      </c>
    </row>
    <row r="18" spans="4:5" ht="15" customHeight="1" x14ac:dyDescent="0.25">
      <c r="D18" s="10" t="s">
        <v>83</v>
      </c>
      <c r="E18" s="17">
        <f>SUMIF('Sales Data'!$B$4:$B$43,D18,'Sales Data'!$F$4:$F$43)</f>
        <v>17400</v>
      </c>
    </row>
    <row r="19" spans="4:5" ht="15" customHeight="1" x14ac:dyDescent="0.25">
      <c r="D19" s="10" t="s">
        <v>87</v>
      </c>
      <c r="E19" s="17">
        <f>SUMIF('Sales Data'!$B$4:$B$43,D19,'Sales Data'!$F$4:$F$43)</f>
        <v>15900</v>
      </c>
    </row>
    <row r="20" spans="4:5" ht="15" customHeight="1" x14ac:dyDescent="0.25">
      <c r="D20" s="10" t="s">
        <v>92</v>
      </c>
      <c r="E20" s="17">
        <f>SUMIF('Sales Data'!$B$4:$B$43,D20,'Sales Data'!$F$4:$F$43)</f>
        <v>55700</v>
      </c>
    </row>
    <row r="40" spans="8:14" ht="15" customHeight="1" x14ac:dyDescent="0.25">
      <c r="H40" s="18" t="s">
        <v>124</v>
      </c>
    </row>
    <row r="41" spans="8:14" ht="15" customHeight="1" x14ac:dyDescent="0.25">
      <c r="H41" s="20" t="s">
        <v>126</v>
      </c>
      <c r="I41" s="20"/>
      <c r="J41" s="20"/>
      <c r="K41" s="20"/>
      <c r="L41" s="20"/>
      <c r="M41" s="20"/>
      <c r="N41" s="20"/>
    </row>
    <row r="42" spans="8:14" ht="15" customHeight="1" x14ac:dyDescent="0.25">
      <c r="H42" s="20"/>
      <c r="I42" s="20"/>
      <c r="J42" s="20"/>
      <c r="K42" s="20"/>
      <c r="L42" s="20"/>
      <c r="M42" s="20"/>
      <c r="N42" s="20"/>
    </row>
    <row r="43" spans="8:14" ht="15" customHeight="1" x14ac:dyDescent="0.25">
      <c r="H43" s="20"/>
      <c r="I43" s="20"/>
      <c r="J43" s="20"/>
      <c r="K43" s="20"/>
      <c r="L43" s="20"/>
      <c r="M43" s="20"/>
      <c r="N43" s="20"/>
    </row>
    <row r="44" spans="8:14" ht="15" customHeight="1" x14ac:dyDescent="0.25">
      <c r="H44" s="20"/>
      <c r="I44" s="20"/>
      <c r="J44" s="20"/>
      <c r="K44" s="20"/>
      <c r="L44" s="20"/>
      <c r="M44" s="20"/>
      <c r="N44" s="20"/>
    </row>
    <row r="45" spans="8:14" ht="15" customHeight="1" x14ac:dyDescent="0.25">
      <c r="H45" s="20"/>
      <c r="I45" s="20"/>
      <c r="J45" s="20"/>
      <c r="K45" s="20"/>
      <c r="L45" s="20"/>
      <c r="M45" s="20"/>
      <c r="N45" s="20"/>
    </row>
    <row r="46" spans="8:14" ht="15" customHeight="1" x14ac:dyDescent="0.25">
      <c r="H46" s="20"/>
      <c r="I46" s="20"/>
      <c r="J46" s="20"/>
      <c r="K46" s="20"/>
      <c r="L46" s="20"/>
      <c r="M46" s="20"/>
      <c r="N46" s="20"/>
    </row>
    <row r="47" spans="8:14" ht="15" customHeight="1" x14ac:dyDescent="0.25">
      <c r="H47" s="20"/>
      <c r="I47" s="20"/>
      <c r="J47" s="20"/>
      <c r="K47" s="20"/>
      <c r="L47" s="20"/>
      <c r="M47" s="20"/>
      <c r="N47" s="20"/>
    </row>
    <row r="48" spans="8:14" ht="15" customHeight="1" x14ac:dyDescent="0.25">
      <c r="H48" s="20"/>
      <c r="I48" s="20"/>
      <c r="J48" s="20"/>
      <c r="K48" s="20"/>
      <c r="L48" s="20"/>
      <c r="M48" s="20"/>
      <c r="N48" s="20"/>
    </row>
    <row r="49" spans="1:50" ht="15" customHeight="1" x14ac:dyDescent="0.25">
      <c r="H49" s="20"/>
      <c r="I49" s="20"/>
      <c r="J49" s="20"/>
      <c r="K49" s="20"/>
      <c r="L49" s="20"/>
      <c r="M49" s="20"/>
      <c r="N49" s="20"/>
    </row>
    <row r="50" spans="1:50" ht="15" customHeight="1" x14ac:dyDescent="0.25">
      <c r="H50" s="20"/>
      <c r="I50" s="20"/>
      <c r="J50" s="20"/>
      <c r="K50" s="20"/>
      <c r="L50" s="20"/>
      <c r="M50" s="20"/>
      <c r="N50" s="20"/>
    </row>
    <row r="51" spans="1:50" ht="15" customHeight="1" x14ac:dyDescent="0.25">
      <c r="H51" s="20"/>
      <c r="I51" s="20"/>
      <c r="J51" s="20"/>
      <c r="K51" s="20"/>
      <c r="L51" s="20"/>
      <c r="M51" s="20"/>
      <c r="N51" s="20"/>
    </row>
    <row r="52" spans="1:50" ht="15" customHeight="1" x14ac:dyDescent="0.25">
      <c r="H52" s="20"/>
      <c r="I52" s="20"/>
      <c r="J52" s="20"/>
      <c r="K52" s="20"/>
      <c r="L52" s="20"/>
      <c r="M52" s="20"/>
      <c r="N52" s="20"/>
    </row>
    <row r="53" spans="1:50" ht="15" customHeight="1" x14ac:dyDescent="0.25">
      <c r="H53" s="20"/>
      <c r="I53" s="20"/>
      <c r="J53" s="20"/>
      <c r="K53" s="20"/>
      <c r="L53" s="20"/>
      <c r="M53" s="20"/>
      <c r="N53" s="20"/>
    </row>
    <row r="54" spans="1:50" ht="15" customHeight="1" x14ac:dyDescent="0.25">
      <c r="H54" s="20"/>
      <c r="I54" s="20"/>
      <c r="J54" s="20"/>
      <c r="K54" s="20"/>
      <c r="L54" s="20"/>
      <c r="M54" s="20"/>
      <c r="N54" s="20"/>
    </row>
    <row r="55" spans="1:50" ht="15" customHeight="1" x14ac:dyDescent="0.25">
      <c r="H55" s="20"/>
      <c r="I55" s="20"/>
      <c r="J55" s="20"/>
      <c r="K55" s="20"/>
      <c r="L55" s="20"/>
      <c r="M55" s="20"/>
      <c r="N55" s="20"/>
    </row>
    <row r="56" spans="1:50" ht="15" customHeight="1" x14ac:dyDescent="0.25">
      <c r="A56" s="18" t="s">
        <v>125</v>
      </c>
    </row>
    <row r="57" spans="1:50" ht="15" customHeight="1" x14ac:dyDescent="0.25">
      <c r="A57" s="20" t="s">
        <v>127</v>
      </c>
      <c r="B57" s="20"/>
      <c r="C57" s="20"/>
      <c r="D57" s="20"/>
      <c r="E57" s="20"/>
      <c r="F57" s="20"/>
      <c r="G57" s="20"/>
    </row>
    <row r="58" spans="1:50" ht="15" customHeight="1" x14ac:dyDescent="0.25">
      <c r="A58" s="20"/>
      <c r="B58" s="20"/>
      <c r="C58" s="20"/>
      <c r="D58" s="20"/>
      <c r="E58" s="20"/>
      <c r="F58" s="20"/>
      <c r="G58" s="20"/>
    </row>
    <row r="59" spans="1:50" ht="15" customHeight="1" x14ac:dyDescent="0.25">
      <c r="A59" s="20"/>
      <c r="B59" s="20"/>
      <c r="C59" s="20"/>
      <c r="D59" s="20"/>
      <c r="E59" s="20"/>
      <c r="F59" s="20"/>
      <c r="G59" s="20"/>
    </row>
    <row r="60" spans="1:50" ht="15" customHeight="1" x14ac:dyDescent="0.25">
      <c r="A60" s="20"/>
      <c r="B60" s="20"/>
      <c r="C60" s="20"/>
      <c r="D60" s="20"/>
      <c r="E60" s="20"/>
      <c r="F60" s="20"/>
      <c r="G60" s="20"/>
    </row>
    <row r="61" spans="1:50" ht="15" customHeight="1" x14ac:dyDescent="0.25">
      <c r="A61" s="20"/>
      <c r="B61" s="20"/>
      <c r="C61" s="20"/>
      <c r="D61" s="20"/>
      <c r="E61" s="20"/>
      <c r="F61" s="20"/>
      <c r="G61" s="20"/>
    </row>
    <row r="62" spans="1:50" ht="15" customHeight="1" x14ac:dyDescent="0.25">
      <c r="A62" s="20"/>
      <c r="B62" s="20"/>
      <c r="C62" s="20"/>
      <c r="D62" s="20"/>
      <c r="E62" s="20"/>
      <c r="F62" s="20"/>
      <c r="G62" s="20"/>
      <c r="AX62" s="30"/>
    </row>
  </sheetData>
  <mergeCells count="11">
    <mergeCell ref="A4:H4"/>
    <mergeCell ref="A5:B5"/>
    <mergeCell ref="C5:D5"/>
    <mergeCell ref="E5:F5"/>
    <mergeCell ref="G5:H5"/>
    <mergeCell ref="A57:G62"/>
    <mergeCell ref="A6:B6"/>
    <mergeCell ref="C6:D6"/>
    <mergeCell ref="E6:F6"/>
    <mergeCell ref="G6:H6"/>
    <mergeCell ref="H41:N55"/>
  </mergeCells>
  <conditionalFormatting sqref="B9:B12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{CA6A3DF4-6C84-44C7-9520-CFCB666C1F62}</x14:id>
        </ext>
      </extLst>
    </cfRule>
  </conditionalFormatting>
  <conditionalFormatting sqref="E9:E20">
    <cfRule type="iconSet" priority="3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6A3DF4-6C84-44C7-9520-CFCB666C1F62}">
            <x14:dataBar axisPosition="none">
              <x14:cfvo type="min"/>
              <x14:cfvo type="max"/>
              <x14:negativeFillColor rgb="FF4472C4"/>
            </x14:dataBar>
          </x14:cfRule>
          <xm:sqref>B9:B12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Sales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Cryz Bernard Gonzales</cp:lastModifiedBy>
  <cp:revision>3</cp:revision>
  <dcterms:created xsi:type="dcterms:W3CDTF">2026-05-18T23:48:56Z</dcterms:created>
  <dcterms:modified xsi:type="dcterms:W3CDTF">2026-07-02T09:01:26Z</dcterms:modified>
  <dc:language>en-US</dc:language>
</cp:coreProperties>
</file>