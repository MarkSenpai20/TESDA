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3/Answers/"/>
    </mc:Choice>
  </mc:AlternateContent>
  <xr:revisionPtr revIDLastSave="2" documentId="11_9C8A86EBD3565E653D402271259443F2D99A18A0" xr6:coauthVersionLast="47" xr6:coauthVersionMax="47" xr10:uidLastSave="{E1A26A75-0BC5-4A9E-B80E-64A567890812}"/>
  <bookViews>
    <workbookView xWindow="-120" yWindow="-120" windowWidth="29040" windowHeight="15720" tabRatio="500" activeTab="2" xr2:uid="{00000000-000D-0000-FFFF-FFFF00000000}"/>
  </bookViews>
  <sheets>
    <sheet name="Instructions" sheetId="1" r:id="rId1"/>
    <sheet name="Sales Data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14" i="3"/>
  <c r="B13" i="3"/>
  <c r="H12" i="3"/>
  <c r="E12" i="3"/>
  <c r="B12" i="3"/>
  <c r="H11" i="3"/>
  <c r="E11" i="3"/>
  <c r="B11" i="3"/>
  <c r="H10" i="3"/>
  <c r="E10" i="3"/>
  <c r="B10" i="3"/>
  <c r="H9" i="3"/>
  <c r="E9" i="3"/>
  <c r="B9" i="3"/>
  <c r="I6" i="3"/>
  <c r="G6" i="3"/>
  <c r="E6" i="3"/>
  <c r="C6" i="3"/>
  <c r="A6" i="3"/>
</calcChain>
</file>

<file path=xl/sharedStrings.xml><?xml version="1.0" encoding="utf-8"?>
<sst xmlns="http://schemas.openxmlformats.org/spreadsheetml/2006/main" count="224" uniqueCount="133">
  <si>
    <t>Day 04 — Activity 3: KPI Dashboard Practice (Video Follow-Along)</t>
  </si>
  <si>
    <t>Data Analytics Level III | Formative Practice (Video Follow-Along)</t>
  </si>
  <si>
    <t>INSTRUCTIONS:</t>
  </si>
  <si>
    <t>This dataset is for the KPI Dashboard video follow-along practice.</t>
  </si>
  <si>
    <t>Watch the recorded video on the LMS and replicate every step below</t>
  </si>
  <si>
    <t>on this dataset (Tita Boba — Milk Tea &amp; Coffee Shop).</t>
  </si>
  <si>
    <t>WHAT YOU WILL BUILD (on the 'Dashboard' sheet):</t>
  </si>
  <si>
    <t>1. KPI SUMMARY</t>
  </si>
  <si>
    <t xml:space="preserve">   • Total Revenue, Average Sale, Number of Transactions</t>
  </si>
  <si>
    <t xml:space="preserve">   • Highest Single Sale, Lowest Single Sale</t>
  </si>
  <si>
    <t>2. CONDITIONAL FORMATTING</t>
  </si>
  <si>
    <t xml:space="preserve">   • Data Bars on a monthly totals table</t>
  </si>
  <si>
    <t xml:space="preserve">   • Color Scales on a category totals table</t>
  </si>
  <si>
    <t xml:space="preserve">   • Icon Sets (e.g., Traffic Lights) somewhere on the dashboard</t>
  </si>
  <si>
    <t>3. CHARTS</t>
  </si>
  <si>
    <t xml:space="preserve">   • Bar chart: Total Sales by Product Category</t>
  </si>
  <si>
    <t xml:space="preserve">   • Line chart: Monthly Sales Trend</t>
  </si>
  <si>
    <t xml:space="preserve">   • (Optional) Sparkline beside the KPI block</t>
  </si>
  <si>
    <t>4. SHORT REFLECTION (2–3 sentences at the bottom of Dashboard sheet)</t>
  </si>
  <si>
    <t>Save as: Day04_DashboardPractice_[YourName].xlsx</t>
  </si>
  <si>
    <t>Upload to LMS before the next session.</t>
  </si>
  <si>
    <t>Tita Boba — Milk Tea &amp; Coffee Shop | 2025 Sales</t>
  </si>
  <si>
    <t>Transaction ID</t>
  </si>
  <si>
    <t>Month</t>
  </si>
  <si>
    <t>Product Category</t>
  </si>
  <si>
    <t>Product Name</t>
  </si>
  <si>
    <t>Units Sold</t>
  </si>
  <si>
    <t>Sales Amount (₱)</t>
  </si>
  <si>
    <t>TXN-001</t>
  </si>
  <si>
    <t>January</t>
  </si>
  <si>
    <t>Milk Tea</t>
  </si>
  <si>
    <t>Classic Milk Tea (24-cup tray)</t>
  </si>
  <si>
    <t>TXN-002</t>
  </si>
  <si>
    <t>Coffee</t>
  </si>
  <si>
    <t>Iced Coffee (12-cup)</t>
  </si>
  <si>
    <t>TXN-003</t>
  </si>
  <si>
    <t>Snacks</t>
  </si>
  <si>
    <t>Cheese Sticks (50 pcs)</t>
  </si>
  <si>
    <t>TXN-004</t>
  </si>
  <si>
    <t>February</t>
  </si>
  <si>
    <t>Valentine's Special (50-cup)</t>
  </si>
  <si>
    <t>TXN-005</t>
  </si>
  <si>
    <t>Add-ons</t>
  </si>
  <si>
    <t>Heart Toppings (200 pcs)</t>
  </si>
  <si>
    <t>TXN-006</t>
  </si>
  <si>
    <t>Couples Set (paired drinks)</t>
  </si>
  <si>
    <t>TXN-007</t>
  </si>
  <si>
    <t>Hot Latte (20-cup)</t>
  </si>
  <si>
    <t>TXN-008</t>
  </si>
  <si>
    <t>March</t>
  </si>
  <si>
    <t>Wintermelon (24-cup)</t>
  </si>
  <si>
    <t>TXN-009</t>
  </si>
  <si>
    <t>Fries (40 orders)</t>
  </si>
  <si>
    <t>TXN-010</t>
  </si>
  <si>
    <t>Iced Americano (15-cup)</t>
  </si>
  <si>
    <t>TXN-011</t>
  </si>
  <si>
    <t>April</t>
  </si>
  <si>
    <t>Mango Float Tea (30-cup)</t>
  </si>
  <si>
    <t>TXN-012</t>
  </si>
  <si>
    <t>Sago Pearls (5kg bag)</t>
  </si>
  <si>
    <t>TXN-013</t>
  </si>
  <si>
    <t>TXN-014</t>
  </si>
  <si>
    <t>May</t>
  </si>
  <si>
    <t>Summer Special (40-cup)</t>
  </si>
  <si>
    <t>TXN-015</t>
  </si>
  <si>
    <t>Summer Festival Catering (event)</t>
  </si>
  <si>
    <t>TXN-016</t>
  </si>
  <si>
    <t>Iced Latte (25-cup)</t>
  </si>
  <si>
    <t>TXN-017</t>
  </si>
  <si>
    <t>Fruit Jellies (large bag)</t>
  </si>
  <si>
    <t>TXN-018</t>
  </si>
  <si>
    <t>June</t>
  </si>
  <si>
    <t>Classic Milk Tea (30-cup)</t>
  </si>
  <si>
    <t>TXN-019</t>
  </si>
  <si>
    <t>Cheese Sticks (60 pcs)</t>
  </si>
  <si>
    <t>TXN-020</t>
  </si>
  <si>
    <t>Iced Coffee (15-cup)</t>
  </si>
  <si>
    <t>TXN-021</t>
  </si>
  <si>
    <t>July</t>
  </si>
  <si>
    <t>Taro Milk Tea (24-cup)</t>
  </si>
  <si>
    <t>TXN-022</t>
  </si>
  <si>
    <t>Donuts (30 pcs)</t>
  </si>
  <si>
    <t>TXN-023</t>
  </si>
  <si>
    <t>Sago Pearls (5kg)</t>
  </si>
  <si>
    <t>TXN-024</t>
  </si>
  <si>
    <t>August</t>
  </si>
  <si>
    <t>Wintermelon (20-cup)</t>
  </si>
  <si>
    <t>TXN-025</t>
  </si>
  <si>
    <t>Hot Latte (15-cup)</t>
  </si>
  <si>
    <t>TXN-026</t>
  </si>
  <si>
    <t>Cheese Sticks (40 pcs)</t>
  </si>
  <si>
    <t>TXN-027</t>
  </si>
  <si>
    <t>September</t>
  </si>
  <si>
    <t>Brown Sugar Pearl (25-cup)</t>
  </si>
  <si>
    <t>TXN-028</t>
  </si>
  <si>
    <t>Iced Americano (12-cup)</t>
  </si>
  <si>
    <t>TXN-029</t>
  </si>
  <si>
    <t>Coffee Jelly (3kg)</t>
  </si>
  <si>
    <t>TXN-030</t>
  </si>
  <si>
    <t>October</t>
  </si>
  <si>
    <t>Halloween Special (35-cup)</t>
  </si>
  <si>
    <t>TXN-031</t>
  </si>
  <si>
    <t>Halloween Cookies (50 pcs)</t>
  </si>
  <si>
    <t>TXN-032</t>
  </si>
  <si>
    <t>Pumpkin Spice Latte (15-cup)</t>
  </si>
  <si>
    <t>TXN-033</t>
  </si>
  <si>
    <t>November</t>
  </si>
  <si>
    <t>TXN-034</t>
  </si>
  <si>
    <t>Iced Latte (20-cup)</t>
  </si>
  <si>
    <t>TXN-035</t>
  </si>
  <si>
    <t>TXN-036</t>
  </si>
  <si>
    <t>December</t>
  </si>
  <si>
    <t>Christmas Bundle (50-cup)</t>
  </si>
  <si>
    <t>TXN-037</t>
  </si>
  <si>
    <t>Christmas Cookies (60 pcs)</t>
  </si>
  <si>
    <t>TXN-038</t>
  </si>
  <si>
    <t>Hot Chocolate (30-cup)</t>
  </si>
  <si>
    <t>TXN-039</t>
  </si>
  <si>
    <t>Festive Toppings (large bag)</t>
  </si>
  <si>
    <t>TXN-040</t>
  </si>
  <si>
    <t>New Year Bundle (40-cup)</t>
  </si>
  <si>
    <t>KPI DASHBOARD — PRACTICE</t>
  </si>
  <si>
    <t>Tita Boba — Milk Tea &amp; Coffee Shop | 2025 | Video Follow-Along | Mark Jhon Angelo Llanes Cruz</t>
  </si>
  <si>
    <t>KPI SUMMARY</t>
  </si>
  <si>
    <t>Total Revenue</t>
  </si>
  <si>
    <t>Average Sale</t>
  </si>
  <si>
    <t>Transactions</t>
  </si>
  <si>
    <t>Highest Sale</t>
  </si>
  <si>
    <t>Lowest Sale</t>
  </si>
  <si>
    <t>Total Sales (₱)</t>
  </si>
  <si>
    <t>Category</t>
  </si>
  <si>
    <t>REFLECTION</t>
  </si>
  <si>
    <t>This practice showed us how KPI cards; conditional formatting; and charts work together--summarizing a whole year of Tita Boba sales in glance. 
The total revenue reached ₱125,790 peak across 40 transactions &amp; the data bars obviously made it, that May (₱30,300) &amp; December (₱21,500) were standout months driven by Summer Festival catering &amp; Christmas bundles. 
Milk Tea is by far the strongest category (₱78,470), which the color scale highlighted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</si>
</sst>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₱#,##0"/>
    <numFmt numFmtId="165" formatCode="\₱#,##0.00"/>
  </numFmts>
  <fonts count="14" x14ac:knownFonts="1">
    <font>
      <sz val="11"/>
      <color theme="1"/>
      <name val="Calibri"/>
      <family val="2"/>
      <charset val="1"/>
    </font>
    <font>
      <b/>
      <sz val="16"/>
      <color rgb="FF1B3A5C"/>
      <name val="Calibri"/>
      <charset val="1"/>
    </font>
    <font>
      <sz val="12"/>
      <color rgb="FF2E75B6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4"/>
      <color rgb="FF1B3A5C"/>
      <name val="Calibri"/>
      <charset val="1"/>
    </font>
    <font>
      <b/>
      <sz val="11"/>
      <color rgb="FFFFFFFF"/>
      <name val="Calibri"/>
      <charset val="1"/>
    </font>
    <font>
      <b/>
      <sz val="18"/>
      <color rgb="FF5B2C6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2"/>
      <color rgb="FF5B2C6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5B2C6F"/>
        <bgColor rgb="FF7D3C98"/>
      </patternFill>
    </fill>
    <fill>
      <patternFill patternType="solid">
        <fgColor rgb="FF7D3C98"/>
        <bgColor rgb="FF5B2C6F"/>
      </patternFill>
    </fill>
    <fill>
      <patternFill patternType="solid">
        <fgColor rgb="FFE8DAEF"/>
        <b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3" fillId="0" borderId="0" xfId="0" applyFont="1" applyAlignment="1">
      <alignment vertical="top" wrapText="1"/>
    </xf>
    <xf numFmtId="1" fontId="10" fillId="6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5" borderId="2" xfId="0" applyFont="1" applyFill="1" applyBorder="1" applyAlignment="1">
      <alignment horizontal="center" vertical="center"/>
    </xf>
    <xf numFmtId="0" fontId="11" fillId="0" borderId="2" xfId="0" applyFont="1" applyBorder="1"/>
    <xf numFmtId="164" fontId="12" fillId="0" borderId="2" xfId="0" applyNumberFormat="1" applyFont="1" applyBorder="1" applyAlignment="1">
      <alignment horizontal="right"/>
    </xf>
    <xf numFmtId="1" fontId="12" fillId="0" borderId="2" xfId="0" applyNumberFormat="1" applyFont="1" applyBorder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D3C98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B0B0B0"/>
      <rgbColor rgb="FF1B3A5C"/>
      <rgbColor rgb="FF4F81BD"/>
      <rgbColor rgb="FF003300"/>
      <rgbColor rgb="FF333300"/>
      <rgbColor rgb="FF993300"/>
      <rgbColor rgb="FFBE4B48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Total Sales (₱)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Dashboard!$D$9:$D$12</c:f>
              <c:strCache>
                <c:ptCount val="4"/>
                <c:pt idx="0">
                  <c:v>Milk Tea</c:v>
                </c:pt>
                <c:pt idx="1">
                  <c:v>Coffee</c:v>
                </c:pt>
                <c:pt idx="2">
                  <c:v>Snacks</c:v>
                </c:pt>
                <c:pt idx="3">
                  <c:v>Add-ons</c:v>
                </c:pt>
              </c:strCache>
            </c:strRef>
          </c:cat>
          <c:val>
            <c:numRef>
              <c:f>Dashboard!$E$9:$E$12</c:f>
              <c:numCache>
                <c:formatCode>\₱#,##0</c:formatCode>
                <c:ptCount val="4"/>
                <c:pt idx="0">
                  <c:v>78470</c:v>
                </c:pt>
                <c:pt idx="1">
                  <c:v>22770</c:v>
                </c:pt>
                <c:pt idx="2">
                  <c:v>15700</c:v>
                </c:pt>
                <c:pt idx="3">
                  <c:v>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A-4C10-B47E-0FCF1540E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78314"/>
        <c:axId val="62387091"/>
      </c:barChart>
      <c:catAx>
        <c:axId val="86678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387091"/>
        <c:crosses val="autoZero"/>
        <c:auto val="1"/>
        <c:lblAlgn val="ctr"/>
        <c:lblOffset val="100"/>
        <c:noMultiLvlLbl val="0"/>
      </c:catAx>
      <c:valAx>
        <c:axId val="62387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6783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 Sales (₱)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Dashboard!$B$9:$B$20</c:f>
              <c:numCache>
                <c:formatCode>\₱#,##0</c:formatCode>
                <c:ptCount val="12"/>
                <c:pt idx="0">
                  <c:v>5220</c:v>
                </c:pt>
                <c:pt idx="1">
                  <c:v>16400</c:v>
                </c:pt>
                <c:pt idx="2">
                  <c:v>6140</c:v>
                </c:pt>
                <c:pt idx="3">
                  <c:v>6650</c:v>
                </c:pt>
                <c:pt idx="4">
                  <c:v>30300</c:v>
                </c:pt>
                <c:pt idx="5">
                  <c:v>6450</c:v>
                </c:pt>
                <c:pt idx="6">
                  <c:v>5630</c:v>
                </c:pt>
                <c:pt idx="7">
                  <c:v>5200</c:v>
                </c:pt>
                <c:pt idx="8">
                  <c:v>5700</c:v>
                </c:pt>
                <c:pt idx="9">
                  <c:v>9000</c:v>
                </c:pt>
                <c:pt idx="10">
                  <c:v>7600</c:v>
                </c:pt>
                <c:pt idx="11">
                  <c:v>21500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A9-48FC-8AA3-AB08C7DC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28106"/>
        <c:axId val="51546712"/>
      </c:lineChart>
      <c:catAx>
        <c:axId val="13281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546712"/>
        <c:crosses val="autoZero"/>
        <c:auto val="1"/>
        <c:lblAlgn val="ctr"/>
        <c:lblOffset val="100"/>
        <c:noMultiLvlLbl val="0"/>
      </c:catAx>
      <c:valAx>
        <c:axId val="51546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 (₱)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281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4</xdr:col>
      <xdr:colOff>294480</xdr:colOff>
      <xdr:row>36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12</xdr:col>
      <xdr:colOff>73440</xdr:colOff>
      <xdr:row>36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Normal="100" workbookViewId="0">
      <selection sqref="A1:F1"/>
    </sheetView>
  </sheetViews>
  <sheetFormatPr defaultColWidth="8.7109375" defaultRowHeight="15" x14ac:dyDescent="0.25"/>
  <cols>
    <col min="1" max="1" width="80" customWidth="1"/>
  </cols>
  <sheetData>
    <row r="1" spans="1:6" ht="21" x14ac:dyDescent="0.35">
      <c r="A1" s="9" t="s">
        <v>0</v>
      </c>
      <c r="B1" s="9"/>
      <c r="C1" s="9"/>
      <c r="D1" s="9"/>
      <c r="E1" s="9"/>
      <c r="F1" s="9"/>
    </row>
    <row r="2" spans="1:6" ht="15.75" x14ac:dyDescent="0.25">
      <c r="A2" s="8" t="s">
        <v>1</v>
      </c>
      <c r="B2" s="8"/>
      <c r="C2" s="8"/>
      <c r="D2" s="8"/>
      <c r="E2" s="8"/>
      <c r="F2" s="8"/>
    </row>
    <row r="4" spans="1:6" x14ac:dyDescent="0.25">
      <c r="A4" s="10"/>
    </row>
    <row r="5" spans="1:6" x14ac:dyDescent="0.25">
      <c r="A5" s="11" t="s">
        <v>2</v>
      </c>
    </row>
    <row r="6" spans="1:6" x14ac:dyDescent="0.25">
      <c r="A6" s="10"/>
    </row>
    <row r="7" spans="1:6" x14ac:dyDescent="0.25">
      <c r="A7" s="10" t="s">
        <v>3</v>
      </c>
    </row>
    <row r="8" spans="1:6" x14ac:dyDescent="0.25">
      <c r="A8" s="10" t="s">
        <v>4</v>
      </c>
    </row>
    <row r="9" spans="1:6" x14ac:dyDescent="0.25">
      <c r="A9" s="10" t="s">
        <v>5</v>
      </c>
    </row>
    <row r="10" spans="1:6" x14ac:dyDescent="0.25">
      <c r="A10" s="10"/>
    </row>
    <row r="11" spans="1:6" x14ac:dyDescent="0.25">
      <c r="A11" s="11" t="s">
        <v>6</v>
      </c>
    </row>
    <row r="12" spans="1:6" x14ac:dyDescent="0.25">
      <c r="A12" s="10"/>
    </row>
    <row r="13" spans="1:6" x14ac:dyDescent="0.25">
      <c r="A13" s="11" t="s">
        <v>7</v>
      </c>
    </row>
    <row r="14" spans="1:6" x14ac:dyDescent="0.25">
      <c r="A14" s="10" t="s">
        <v>8</v>
      </c>
    </row>
    <row r="15" spans="1:6" x14ac:dyDescent="0.25">
      <c r="A15" s="10" t="s">
        <v>9</v>
      </c>
    </row>
    <row r="16" spans="1:6" x14ac:dyDescent="0.25">
      <c r="A16" s="10"/>
    </row>
    <row r="17" spans="1:1" x14ac:dyDescent="0.25">
      <c r="A17" s="11" t="s">
        <v>10</v>
      </c>
    </row>
    <row r="18" spans="1:1" x14ac:dyDescent="0.25">
      <c r="A18" s="10" t="s">
        <v>11</v>
      </c>
    </row>
    <row r="19" spans="1:1" x14ac:dyDescent="0.25">
      <c r="A19" s="10" t="s">
        <v>12</v>
      </c>
    </row>
    <row r="20" spans="1:1" x14ac:dyDescent="0.25">
      <c r="A20" s="10" t="s">
        <v>13</v>
      </c>
    </row>
    <row r="21" spans="1:1" x14ac:dyDescent="0.25">
      <c r="A21" s="10"/>
    </row>
    <row r="22" spans="1:1" x14ac:dyDescent="0.25">
      <c r="A22" s="11" t="s">
        <v>14</v>
      </c>
    </row>
    <row r="23" spans="1:1" x14ac:dyDescent="0.25">
      <c r="A23" s="10" t="s">
        <v>15</v>
      </c>
    </row>
    <row r="24" spans="1:1" x14ac:dyDescent="0.25">
      <c r="A24" s="10" t="s">
        <v>16</v>
      </c>
    </row>
    <row r="25" spans="1:1" x14ac:dyDescent="0.25">
      <c r="A25" s="10" t="s">
        <v>17</v>
      </c>
    </row>
    <row r="26" spans="1:1" x14ac:dyDescent="0.25">
      <c r="A26" s="10"/>
    </row>
    <row r="27" spans="1:1" x14ac:dyDescent="0.25">
      <c r="A27" s="11" t="s">
        <v>18</v>
      </c>
    </row>
    <row r="28" spans="1:1" x14ac:dyDescent="0.25">
      <c r="A28" s="10"/>
    </row>
    <row r="29" spans="1:1" x14ac:dyDescent="0.25">
      <c r="A29" s="11" t="s">
        <v>19</v>
      </c>
    </row>
    <row r="30" spans="1:1" x14ac:dyDescent="0.25">
      <c r="A30" s="10" t="s">
        <v>20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Normal="100" workbookViewId="0">
      <selection sqref="A1:F1"/>
    </sheetView>
  </sheetViews>
  <sheetFormatPr defaultColWidth="8.7109375" defaultRowHeight="15" x14ac:dyDescent="0.25"/>
  <cols>
    <col min="1" max="1" width="14" customWidth="1"/>
    <col min="2" max="2" width="12" customWidth="1"/>
    <col min="3" max="3" width="14" customWidth="1"/>
    <col min="4" max="4" width="34" customWidth="1"/>
    <col min="5" max="5" width="12" customWidth="1"/>
    <col min="6" max="6" width="18" customWidth="1"/>
  </cols>
  <sheetData>
    <row r="1" spans="1:6" ht="18.75" x14ac:dyDescent="0.3">
      <c r="A1" s="7" t="s">
        <v>21</v>
      </c>
      <c r="B1" s="7"/>
      <c r="C1" s="7"/>
      <c r="D1" s="7"/>
      <c r="E1" s="7"/>
      <c r="F1" s="7"/>
    </row>
    <row r="3" spans="1:6" x14ac:dyDescent="0.25">
      <c r="A3" s="12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</row>
    <row r="4" spans="1:6" x14ac:dyDescent="0.25">
      <c r="A4" s="13" t="s">
        <v>28</v>
      </c>
      <c r="B4" s="13" t="s">
        <v>29</v>
      </c>
      <c r="C4" s="13" t="s">
        <v>30</v>
      </c>
      <c r="D4" s="13" t="s">
        <v>31</v>
      </c>
      <c r="E4" s="13">
        <v>24</v>
      </c>
      <c r="F4" s="14">
        <v>2400</v>
      </c>
    </row>
    <row r="5" spans="1:6" x14ac:dyDescent="0.25">
      <c r="A5" s="15" t="s">
        <v>32</v>
      </c>
      <c r="B5" s="15" t="s">
        <v>29</v>
      </c>
      <c r="C5" s="15" t="s">
        <v>33</v>
      </c>
      <c r="D5" s="15" t="s">
        <v>34</v>
      </c>
      <c r="E5" s="15">
        <v>12</v>
      </c>
      <c r="F5" s="16">
        <v>1320</v>
      </c>
    </row>
    <row r="6" spans="1:6" x14ac:dyDescent="0.25">
      <c r="A6" s="13" t="s">
        <v>35</v>
      </c>
      <c r="B6" s="13" t="s">
        <v>29</v>
      </c>
      <c r="C6" s="13" t="s">
        <v>36</v>
      </c>
      <c r="D6" s="13" t="s">
        <v>37</v>
      </c>
      <c r="E6" s="13">
        <v>50</v>
      </c>
      <c r="F6" s="14">
        <v>1500</v>
      </c>
    </row>
    <row r="7" spans="1:6" x14ac:dyDescent="0.25">
      <c r="A7" s="15" t="s">
        <v>38</v>
      </c>
      <c r="B7" s="15" t="s">
        <v>39</v>
      </c>
      <c r="C7" s="15" t="s">
        <v>30</v>
      </c>
      <c r="D7" s="15" t="s">
        <v>40</v>
      </c>
      <c r="E7" s="15">
        <v>50</v>
      </c>
      <c r="F7" s="16">
        <v>7500</v>
      </c>
    </row>
    <row r="8" spans="1:6" x14ac:dyDescent="0.25">
      <c r="A8" s="13" t="s">
        <v>41</v>
      </c>
      <c r="B8" s="13" t="s">
        <v>39</v>
      </c>
      <c r="C8" s="13" t="s">
        <v>42</v>
      </c>
      <c r="D8" s="13" t="s">
        <v>43</v>
      </c>
      <c r="E8" s="13">
        <v>200</v>
      </c>
      <c r="F8" s="14">
        <v>2000</v>
      </c>
    </row>
    <row r="9" spans="1:6" x14ac:dyDescent="0.25">
      <c r="A9" s="15" t="s">
        <v>44</v>
      </c>
      <c r="B9" s="15" t="s">
        <v>39</v>
      </c>
      <c r="C9" s="15" t="s">
        <v>30</v>
      </c>
      <c r="D9" s="15" t="s">
        <v>45</v>
      </c>
      <c r="E9" s="15">
        <v>30</v>
      </c>
      <c r="F9" s="16">
        <v>4500</v>
      </c>
    </row>
    <row r="10" spans="1:6" x14ac:dyDescent="0.25">
      <c r="A10" s="13" t="s">
        <v>46</v>
      </c>
      <c r="B10" s="13" t="s">
        <v>39</v>
      </c>
      <c r="C10" s="13" t="s">
        <v>33</v>
      </c>
      <c r="D10" s="13" t="s">
        <v>47</v>
      </c>
      <c r="E10" s="13">
        <v>20</v>
      </c>
      <c r="F10" s="14">
        <v>2400</v>
      </c>
    </row>
    <row r="11" spans="1:6" x14ac:dyDescent="0.25">
      <c r="A11" s="15" t="s">
        <v>48</v>
      </c>
      <c r="B11" s="15" t="s">
        <v>49</v>
      </c>
      <c r="C11" s="15" t="s">
        <v>30</v>
      </c>
      <c r="D11" s="15" t="s">
        <v>50</v>
      </c>
      <c r="E11" s="15">
        <v>24</v>
      </c>
      <c r="F11" s="16">
        <v>2640</v>
      </c>
    </row>
    <row r="12" spans="1:6" x14ac:dyDescent="0.25">
      <c r="A12" s="13" t="s">
        <v>51</v>
      </c>
      <c r="B12" s="13" t="s">
        <v>49</v>
      </c>
      <c r="C12" s="13" t="s">
        <v>36</v>
      </c>
      <c r="D12" s="13" t="s">
        <v>52</v>
      </c>
      <c r="E12" s="13">
        <v>40</v>
      </c>
      <c r="F12" s="14">
        <v>2000</v>
      </c>
    </row>
    <row r="13" spans="1:6" x14ac:dyDescent="0.25">
      <c r="A13" s="15" t="s">
        <v>53</v>
      </c>
      <c r="B13" s="15" t="s">
        <v>49</v>
      </c>
      <c r="C13" s="15" t="s">
        <v>33</v>
      </c>
      <c r="D13" s="15" t="s">
        <v>54</v>
      </c>
      <c r="E13" s="15">
        <v>15</v>
      </c>
      <c r="F13" s="16">
        <v>1500</v>
      </c>
    </row>
    <row r="14" spans="1:6" x14ac:dyDescent="0.25">
      <c r="A14" s="13" t="s">
        <v>55</v>
      </c>
      <c r="B14" s="13" t="s">
        <v>56</v>
      </c>
      <c r="C14" s="13" t="s">
        <v>30</v>
      </c>
      <c r="D14" s="13" t="s">
        <v>57</v>
      </c>
      <c r="E14" s="13">
        <v>30</v>
      </c>
      <c r="F14" s="14">
        <v>3900</v>
      </c>
    </row>
    <row r="15" spans="1:6" x14ac:dyDescent="0.25">
      <c r="A15" s="15" t="s">
        <v>58</v>
      </c>
      <c r="B15" s="15" t="s">
        <v>56</v>
      </c>
      <c r="C15" s="15" t="s">
        <v>42</v>
      </c>
      <c r="D15" s="15" t="s">
        <v>59</v>
      </c>
      <c r="E15" s="15">
        <v>5</v>
      </c>
      <c r="F15" s="16">
        <v>1250</v>
      </c>
    </row>
    <row r="16" spans="1:6" x14ac:dyDescent="0.25">
      <c r="A16" s="13" t="s">
        <v>60</v>
      </c>
      <c r="B16" s="13" t="s">
        <v>56</v>
      </c>
      <c r="C16" s="13" t="s">
        <v>36</v>
      </c>
      <c r="D16" s="13" t="s">
        <v>37</v>
      </c>
      <c r="E16" s="13">
        <v>50</v>
      </c>
      <c r="F16" s="14">
        <v>1500</v>
      </c>
    </row>
    <row r="17" spans="1:6" x14ac:dyDescent="0.25">
      <c r="A17" s="15" t="s">
        <v>61</v>
      </c>
      <c r="B17" s="15" t="s">
        <v>62</v>
      </c>
      <c r="C17" s="15" t="s">
        <v>30</v>
      </c>
      <c r="D17" s="15" t="s">
        <v>63</v>
      </c>
      <c r="E17" s="15">
        <v>40</v>
      </c>
      <c r="F17" s="16">
        <v>5200</v>
      </c>
    </row>
    <row r="18" spans="1:6" x14ac:dyDescent="0.25">
      <c r="A18" s="13" t="s">
        <v>64</v>
      </c>
      <c r="B18" s="13" t="s">
        <v>62</v>
      </c>
      <c r="C18" s="13" t="s">
        <v>30</v>
      </c>
      <c r="D18" s="13" t="s">
        <v>65</v>
      </c>
      <c r="E18" s="13">
        <v>200</v>
      </c>
      <c r="F18" s="14">
        <v>20000</v>
      </c>
    </row>
    <row r="19" spans="1:6" x14ac:dyDescent="0.25">
      <c r="A19" s="15" t="s">
        <v>66</v>
      </c>
      <c r="B19" s="15" t="s">
        <v>62</v>
      </c>
      <c r="C19" s="15" t="s">
        <v>33</v>
      </c>
      <c r="D19" s="15" t="s">
        <v>67</v>
      </c>
      <c r="E19" s="15">
        <v>25</v>
      </c>
      <c r="F19" s="16">
        <v>3500</v>
      </c>
    </row>
    <row r="20" spans="1:6" x14ac:dyDescent="0.25">
      <c r="A20" s="13" t="s">
        <v>68</v>
      </c>
      <c r="B20" s="13" t="s">
        <v>62</v>
      </c>
      <c r="C20" s="13" t="s">
        <v>42</v>
      </c>
      <c r="D20" s="13" t="s">
        <v>69</v>
      </c>
      <c r="E20" s="13">
        <v>8</v>
      </c>
      <c r="F20" s="14">
        <v>1600</v>
      </c>
    </row>
    <row r="21" spans="1:6" x14ac:dyDescent="0.25">
      <c r="A21" s="15" t="s">
        <v>70</v>
      </c>
      <c r="B21" s="15" t="s">
        <v>71</v>
      </c>
      <c r="C21" s="15" t="s">
        <v>30</v>
      </c>
      <c r="D21" s="15" t="s">
        <v>72</v>
      </c>
      <c r="E21" s="15">
        <v>30</v>
      </c>
      <c r="F21" s="16">
        <v>3000</v>
      </c>
    </row>
    <row r="22" spans="1:6" x14ac:dyDescent="0.25">
      <c r="A22" s="13" t="s">
        <v>73</v>
      </c>
      <c r="B22" s="13" t="s">
        <v>71</v>
      </c>
      <c r="C22" s="13" t="s">
        <v>36</v>
      </c>
      <c r="D22" s="13" t="s">
        <v>74</v>
      </c>
      <c r="E22" s="13">
        <v>60</v>
      </c>
      <c r="F22" s="14">
        <v>1800</v>
      </c>
    </row>
    <row r="23" spans="1:6" x14ac:dyDescent="0.25">
      <c r="A23" s="15" t="s">
        <v>75</v>
      </c>
      <c r="B23" s="15" t="s">
        <v>71</v>
      </c>
      <c r="C23" s="15" t="s">
        <v>33</v>
      </c>
      <c r="D23" s="15" t="s">
        <v>76</v>
      </c>
      <c r="E23" s="15">
        <v>15</v>
      </c>
      <c r="F23" s="16">
        <v>1650</v>
      </c>
    </row>
    <row r="24" spans="1:6" x14ac:dyDescent="0.25">
      <c r="A24" s="13" t="s">
        <v>77</v>
      </c>
      <c r="B24" s="13" t="s">
        <v>78</v>
      </c>
      <c r="C24" s="13" t="s">
        <v>30</v>
      </c>
      <c r="D24" s="13" t="s">
        <v>79</v>
      </c>
      <c r="E24" s="13">
        <v>24</v>
      </c>
      <c r="F24" s="14">
        <v>2880</v>
      </c>
    </row>
    <row r="25" spans="1:6" x14ac:dyDescent="0.25">
      <c r="A25" s="15" t="s">
        <v>80</v>
      </c>
      <c r="B25" s="15" t="s">
        <v>78</v>
      </c>
      <c r="C25" s="15" t="s">
        <v>36</v>
      </c>
      <c r="D25" s="15" t="s">
        <v>81</v>
      </c>
      <c r="E25" s="15">
        <v>30</v>
      </c>
      <c r="F25" s="16">
        <v>1500</v>
      </c>
    </row>
    <row r="26" spans="1:6" x14ac:dyDescent="0.25">
      <c r="A26" s="13" t="s">
        <v>82</v>
      </c>
      <c r="B26" s="13" t="s">
        <v>78</v>
      </c>
      <c r="C26" s="13" t="s">
        <v>42</v>
      </c>
      <c r="D26" s="13" t="s">
        <v>83</v>
      </c>
      <c r="E26" s="13">
        <v>5</v>
      </c>
      <c r="F26" s="14">
        <v>1250</v>
      </c>
    </row>
    <row r="27" spans="1:6" x14ac:dyDescent="0.25">
      <c r="A27" s="15" t="s">
        <v>84</v>
      </c>
      <c r="B27" s="15" t="s">
        <v>85</v>
      </c>
      <c r="C27" s="15" t="s">
        <v>30</v>
      </c>
      <c r="D27" s="15" t="s">
        <v>86</v>
      </c>
      <c r="E27" s="15">
        <v>20</v>
      </c>
      <c r="F27" s="16">
        <v>2200</v>
      </c>
    </row>
    <row r="28" spans="1:6" x14ac:dyDescent="0.25">
      <c r="A28" s="13" t="s">
        <v>87</v>
      </c>
      <c r="B28" s="13" t="s">
        <v>85</v>
      </c>
      <c r="C28" s="13" t="s">
        <v>33</v>
      </c>
      <c r="D28" s="13" t="s">
        <v>88</v>
      </c>
      <c r="E28" s="13">
        <v>15</v>
      </c>
      <c r="F28" s="14">
        <v>1800</v>
      </c>
    </row>
    <row r="29" spans="1:6" x14ac:dyDescent="0.25">
      <c r="A29" s="15" t="s">
        <v>89</v>
      </c>
      <c r="B29" s="15" t="s">
        <v>85</v>
      </c>
      <c r="C29" s="15" t="s">
        <v>36</v>
      </c>
      <c r="D29" s="15" t="s">
        <v>90</v>
      </c>
      <c r="E29" s="15">
        <v>40</v>
      </c>
      <c r="F29" s="16">
        <v>1200</v>
      </c>
    </row>
    <row r="30" spans="1:6" x14ac:dyDescent="0.25">
      <c r="A30" s="13" t="s">
        <v>91</v>
      </c>
      <c r="B30" s="13" t="s">
        <v>92</v>
      </c>
      <c r="C30" s="13" t="s">
        <v>30</v>
      </c>
      <c r="D30" s="13" t="s">
        <v>93</v>
      </c>
      <c r="E30" s="13">
        <v>25</v>
      </c>
      <c r="F30" s="14">
        <v>3750</v>
      </c>
    </row>
    <row r="31" spans="1:6" x14ac:dyDescent="0.25">
      <c r="A31" s="15" t="s">
        <v>94</v>
      </c>
      <c r="B31" s="15" t="s">
        <v>92</v>
      </c>
      <c r="C31" s="15" t="s">
        <v>33</v>
      </c>
      <c r="D31" s="15" t="s">
        <v>95</v>
      </c>
      <c r="E31" s="15">
        <v>12</v>
      </c>
      <c r="F31" s="16">
        <v>1200</v>
      </c>
    </row>
    <row r="32" spans="1:6" x14ac:dyDescent="0.25">
      <c r="A32" s="13" t="s">
        <v>96</v>
      </c>
      <c r="B32" s="13" t="s">
        <v>92</v>
      </c>
      <c r="C32" s="13" t="s">
        <v>42</v>
      </c>
      <c r="D32" s="13" t="s">
        <v>97</v>
      </c>
      <c r="E32" s="13">
        <v>3</v>
      </c>
      <c r="F32" s="14">
        <v>750</v>
      </c>
    </row>
    <row r="33" spans="1:6" x14ac:dyDescent="0.25">
      <c r="A33" s="15" t="s">
        <v>98</v>
      </c>
      <c r="B33" s="15" t="s">
        <v>99</v>
      </c>
      <c r="C33" s="15" t="s">
        <v>30</v>
      </c>
      <c r="D33" s="15" t="s">
        <v>100</v>
      </c>
      <c r="E33" s="15">
        <v>35</v>
      </c>
      <c r="F33" s="16">
        <v>4900</v>
      </c>
    </row>
    <row r="34" spans="1:6" x14ac:dyDescent="0.25">
      <c r="A34" s="13" t="s">
        <v>101</v>
      </c>
      <c r="B34" s="13" t="s">
        <v>99</v>
      </c>
      <c r="C34" s="13" t="s">
        <v>36</v>
      </c>
      <c r="D34" s="13" t="s">
        <v>102</v>
      </c>
      <c r="E34" s="13">
        <v>50</v>
      </c>
      <c r="F34" s="14">
        <v>2000</v>
      </c>
    </row>
    <row r="35" spans="1:6" x14ac:dyDescent="0.25">
      <c r="A35" s="15" t="s">
        <v>103</v>
      </c>
      <c r="B35" s="15" t="s">
        <v>99</v>
      </c>
      <c r="C35" s="15" t="s">
        <v>33</v>
      </c>
      <c r="D35" s="15" t="s">
        <v>104</v>
      </c>
      <c r="E35" s="15">
        <v>15</v>
      </c>
      <c r="F35" s="16">
        <v>2100</v>
      </c>
    </row>
    <row r="36" spans="1:6" x14ac:dyDescent="0.25">
      <c r="A36" s="13" t="s">
        <v>105</v>
      </c>
      <c r="B36" s="13" t="s">
        <v>106</v>
      </c>
      <c r="C36" s="13" t="s">
        <v>30</v>
      </c>
      <c r="D36" s="13" t="s">
        <v>72</v>
      </c>
      <c r="E36" s="13">
        <v>30</v>
      </c>
      <c r="F36" s="14">
        <v>3000</v>
      </c>
    </row>
    <row r="37" spans="1:6" x14ac:dyDescent="0.25">
      <c r="A37" s="15" t="s">
        <v>107</v>
      </c>
      <c r="B37" s="15" t="s">
        <v>106</v>
      </c>
      <c r="C37" s="15" t="s">
        <v>33</v>
      </c>
      <c r="D37" s="15" t="s">
        <v>108</v>
      </c>
      <c r="E37" s="15">
        <v>20</v>
      </c>
      <c r="F37" s="16">
        <v>2800</v>
      </c>
    </row>
    <row r="38" spans="1:6" x14ac:dyDescent="0.25">
      <c r="A38" s="13" t="s">
        <v>109</v>
      </c>
      <c r="B38" s="13" t="s">
        <v>106</v>
      </c>
      <c r="C38" s="13" t="s">
        <v>36</v>
      </c>
      <c r="D38" s="13" t="s">
        <v>74</v>
      </c>
      <c r="E38" s="13">
        <v>60</v>
      </c>
      <c r="F38" s="14">
        <v>1800</v>
      </c>
    </row>
    <row r="39" spans="1:6" x14ac:dyDescent="0.25">
      <c r="A39" s="15" t="s">
        <v>110</v>
      </c>
      <c r="B39" s="15" t="s">
        <v>111</v>
      </c>
      <c r="C39" s="15" t="s">
        <v>30</v>
      </c>
      <c r="D39" s="15" t="s">
        <v>112</v>
      </c>
      <c r="E39" s="15">
        <v>50</v>
      </c>
      <c r="F39" s="16">
        <v>7000</v>
      </c>
    </row>
    <row r="40" spans="1:6" x14ac:dyDescent="0.25">
      <c r="A40" s="13" t="s">
        <v>113</v>
      </c>
      <c r="B40" s="13" t="s">
        <v>111</v>
      </c>
      <c r="C40" s="13" t="s">
        <v>36</v>
      </c>
      <c r="D40" s="13" t="s">
        <v>114</v>
      </c>
      <c r="E40" s="13">
        <v>60</v>
      </c>
      <c r="F40" s="14">
        <v>2400</v>
      </c>
    </row>
    <row r="41" spans="1:6" x14ac:dyDescent="0.25">
      <c r="A41" s="15" t="s">
        <v>115</v>
      </c>
      <c r="B41" s="15" t="s">
        <v>111</v>
      </c>
      <c r="C41" s="15" t="s">
        <v>33</v>
      </c>
      <c r="D41" s="15" t="s">
        <v>116</v>
      </c>
      <c r="E41" s="15">
        <v>30</v>
      </c>
      <c r="F41" s="16">
        <v>4500</v>
      </c>
    </row>
    <row r="42" spans="1:6" x14ac:dyDescent="0.25">
      <c r="A42" s="13" t="s">
        <v>117</v>
      </c>
      <c r="B42" s="13" t="s">
        <v>111</v>
      </c>
      <c r="C42" s="13" t="s">
        <v>42</v>
      </c>
      <c r="D42" s="13" t="s">
        <v>118</v>
      </c>
      <c r="E42" s="13">
        <v>10</v>
      </c>
      <c r="F42" s="14">
        <v>2000</v>
      </c>
    </row>
    <row r="43" spans="1:6" x14ac:dyDescent="0.25">
      <c r="A43" s="15" t="s">
        <v>119</v>
      </c>
      <c r="B43" s="15" t="s">
        <v>111</v>
      </c>
      <c r="C43" s="15" t="s">
        <v>30</v>
      </c>
      <c r="D43" s="15" t="s">
        <v>120</v>
      </c>
      <c r="E43" s="15">
        <v>40</v>
      </c>
      <c r="F43" s="16">
        <v>5600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showGridLines="0" tabSelected="1" topLeftCell="A25" zoomScale="130" zoomScaleNormal="130" workbookViewId="0">
      <selection activeCell="A41" sqref="A41:H46"/>
    </sheetView>
  </sheetViews>
  <sheetFormatPr defaultColWidth="8.7109375" defaultRowHeight="15" x14ac:dyDescent="0.25"/>
  <cols>
    <col min="1" max="2" width="16" customWidth="1"/>
    <col min="3" max="3" width="4" customWidth="1"/>
    <col min="4" max="5" width="16" customWidth="1"/>
    <col min="6" max="6" width="4" customWidth="1"/>
    <col min="7" max="7" width="16" customWidth="1"/>
    <col min="8" max="8" width="12" customWidth="1"/>
    <col min="9" max="10" width="10" customWidth="1"/>
  </cols>
  <sheetData>
    <row r="1" spans="1:10" ht="23.25" x14ac:dyDescent="0.35">
      <c r="A1" s="17" t="s">
        <v>121</v>
      </c>
    </row>
    <row r="2" spans="1:10" x14ac:dyDescent="0.25">
      <c r="A2" s="18" t="s">
        <v>122</v>
      </c>
    </row>
    <row r="4" spans="1:10" x14ac:dyDescent="0.25">
      <c r="A4" s="6" t="s">
        <v>123</v>
      </c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5" t="s">
        <v>124</v>
      </c>
      <c r="B5" s="5"/>
      <c r="C5" s="5" t="s">
        <v>125</v>
      </c>
      <c r="D5" s="5"/>
      <c r="E5" s="5" t="s">
        <v>126</v>
      </c>
      <c r="F5" s="5"/>
      <c r="G5" s="5" t="s">
        <v>127</v>
      </c>
      <c r="H5" s="5"/>
      <c r="I5" s="5" t="s">
        <v>128</v>
      </c>
      <c r="J5" s="5"/>
    </row>
    <row r="6" spans="1:10" ht="25.5" customHeight="1" x14ac:dyDescent="0.25">
      <c r="A6" s="4">
        <f>SUM('Sales Data'!F4:F43)</f>
        <v>125790</v>
      </c>
      <c r="B6" s="4"/>
      <c r="C6" s="3">
        <f>AVERAGE('Sales Data'!F4:F43)</f>
        <v>3144.75</v>
      </c>
      <c r="D6" s="3"/>
      <c r="E6" s="2">
        <f>COUNTA('Sales Data'!A4:A43)</f>
        <v>40</v>
      </c>
      <c r="F6" s="2"/>
      <c r="G6" s="4">
        <f>MAX('Sales Data'!F4:F43)</f>
        <v>20000</v>
      </c>
      <c r="H6" s="4"/>
      <c r="I6" s="4">
        <f>MIN('Sales Data'!F4:F43)</f>
        <v>750</v>
      </c>
      <c r="J6" s="4"/>
    </row>
    <row r="8" spans="1:10" x14ac:dyDescent="0.25">
      <c r="A8" s="19" t="s">
        <v>23</v>
      </c>
      <c r="B8" s="19" t="s">
        <v>129</v>
      </c>
      <c r="D8" s="19" t="s">
        <v>24</v>
      </c>
      <c r="E8" s="19" t="s">
        <v>129</v>
      </c>
      <c r="G8" s="19" t="s">
        <v>130</v>
      </c>
      <c r="H8" s="19" t="s">
        <v>26</v>
      </c>
    </row>
    <row r="9" spans="1:10" x14ac:dyDescent="0.25">
      <c r="A9" s="20" t="s">
        <v>29</v>
      </c>
      <c r="B9" s="21">
        <f>SUMIF('Sales Data'!$B$4:$B$43,A9,'Sales Data'!$F$4:$F$43)</f>
        <v>5220</v>
      </c>
      <c r="D9" s="20" t="s">
        <v>30</v>
      </c>
      <c r="E9" s="21">
        <f>SUMIF('Sales Data'!$C$4:$C$43,D9,'Sales Data'!$F$4:$F$43)</f>
        <v>78470</v>
      </c>
      <c r="G9" s="20" t="s">
        <v>30</v>
      </c>
      <c r="H9" s="22">
        <f>SUMIF('Sales Data'!$C$4:$C$43,G9,'Sales Data'!$E$4:$E$43)</f>
        <v>652</v>
      </c>
    </row>
    <row r="10" spans="1:10" x14ac:dyDescent="0.25">
      <c r="A10" s="20" t="s">
        <v>39</v>
      </c>
      <c r="B10" s="21">
        <f>SUMIF('Sales Data'!$B$4:$B$43,A10,'Sales Data'!$F$4:$F$43)</f>
        <v>16400</v>
      </c>
      <c r="D10" s="20" t="s">
        <v>33</v>
      </c>
      <c r="E10" s="21">
        <f>SUMIF('Sales Data'!$C$4:$C$43,D10,'Sales Data'!$F$4:$F$43)</f>
        <v>22770</v>
      </c>
      <c r="G10" s="20" t="s">
        <v>33</v>
      </c>
      <c r="H10" s="22">
        <f>SUMIF('Sales Data'!$C$4:$C$43,G10,'Sales Data'!$E$4:$E$43)</f>
        <v>179</v>
      </c>
    </row>
    <row r="11" spans="1:10" x14ac:dyDescent="0.25">
      <c r="A11" s="20" t="s">
        <v>49</v>
      </c>
      <c r="B11" s="21">
        <f>SUMIF('Sales Data'!$B$4:$B$43,A11,'Sales Data'!$F$4:$F$43)</f>
        <v>6140</v>
      </c>
      <c r="D11" s="20" t="s">
        <v>36</v>
      </c>
      <c r="E11" s="21">
        <f>SUMIF('Sales Data'!$C$4:$C$43,D11,'Sales Data'!$F$4:$F$43)</f>
        <v>15700</v>
      </c>
      <c r="G11" s="20" t="s">
        <v>36</v>
      </c>
      <c r="H11" s="22">
        <f>SUMIF('Sales Data'!$C$4:$C$43,G11,'Sales Data'!$E$4:$E$43)</f>
        <v>440</v>
      </c>
    </row>
    <row r="12" spans="1:10" x14ac:dyDescent="0.25">
      <c r="A12" s="20" t="s">
        <v>56</v>
      </c>
      <c r="B12" s="21">
        <f>SUMIF('Sales Data'!$B$4:$B$43,A12,'Sales Data'!$F$4:$F$43)</f>
        <v>6650</v>
      </c>
      <c r="D12" s="20" t="s">
        <v>42</v>
      </c>
      <c r="E12" s="21">
        <f>SUMIF('Sales Data'!$C$4:$C$43,D12,'Sales Data'!$F$4:$F$43)</f>
        <v>8850</v>
      </c>
      <c r="G12" s="20" t="s">
        <v>42</v>
      </c>
      <c r="H12" s="22">
        <f>SUMIF('Sales Data'!$C$4:$C$43,G12,'Sales Data'!$E$4:$E$43)</f>
        <v>231</v>
      </c>
    </row>
    <row r="13" spans="1:10" x14ac:dyDescent="0.25">
      <c r="A13" s="20" t="s">
        <v>62</v>
      </c>
      <c r="B13" s="21">
        <f>SUMIF('Sales Data'!$B$4:$B$43,A13,'Sales Data'!$F$4:$F$43)</f>
        <v>30300</v>
      </c>
    </row>
    <row r="14" spans="1:10" x14ac:dyDescent="0.25">
      <c r="A14" s="20" t="s">
        <v>71</v>
      </c>
      <c r="B14" s="21">
        <f>SUMIF('Sales Data'!$B$4:$B$43,A14,'Sales Data'!$F$4:$F$43)</f>
        <v>6450</v>
      </c>
    </row>
    <row r="15" spans="1:10" x14ac:dyDescent="0.25">
      <c r="A15" s="20" t="s">
        <v>78</v>
      </c>
      <c r="B15" s="21">
        <f>SUMIF('Sales Data'!$B$4:$B$43,A15,'Sales Data'!$F$4:$F$43)</f>
        <v>5630</v>
      </c>
    </row>
    <row r="16" spans="1:10" x14ac:dyDescent="0.25">
      <c r="A16" s="20" t="s">
        <v>85</v>
      </c>
      <c r="B16" s="21">
        <f>SUMIF('Sales Data'!$B$4:$B$43,A16,'Sales Data'!$F$4:$F$43)</f>
        <v>5200</v>
      </c>
    </row>
    <row r="17" spans="1:2" x14ac:dyDescent="0.25">
      <c r="A17" s="20" t="s">
        <v>92</v>
      </c>
      <c r="B17" s="21">
        <f>SUMIF('Sales Data'!$B$4:$B$43,A17,'Sales Data'!$F$4:$F$43)</f>
        <v>5700</v>
      </c>
    </row>
    <row r="18" spans="1:2" x14ac:dyDescent="0.25">
      <c r="A18" s="20" t="s">
        <v>99</v>
      </c>
      <c r="B18" s="21">
        <f>SUMIF('Sales Data'!$B$4:$B$43,A18,'Sales Data'!$F$4:$F$43)</f>
        <v>9000</v>
      </c>
    </row>
    <row r="19" spans="1:2" x14ac:dyDescent="0.25">
      <c r="A19" s="20" t="s">
        <v>106</v>
      </c>
      <c r="B19" s="21">
        <f>SUMIF('Sales Data'!$B$4:$B$43,A19,'Sales Data'!$F$4:$F$43)</f>
        <v>7600</v>
      </c>
    </row>
    <row r="20" spans="1:2" x14ac:dyDescent="0.25">
      <c r="A20" s="20" t="s">
        <v>111</v>
      </c>
      <c r="B20" s="21">
        <f>SUMIF('Sales Data'!$B$4:$B$43,A20,'Sales Data'!$F$4:$F$43)</f>
        <v>21500</v>
      </c>
    </row>
    <row r="40" spans="1:8" ht="15.75" x14ac:dyDescent="0.25">
      <c r="A40" s="23" t="s">
        <v>131</v>
      </c>
    </row>
    <row r="41" spans="1:8" ht="15" customHeight="1" x14ac:dyDescent="0.25">
      <c r="A41" s="1" t="s">
        <v>132</v>
      </c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</sheetData>
  <mergeCells count="12">
    <mergeCell ref="A41:H46"/>
    <mergeCell ref="A6:B6"/>
    <mergeCell ref="C6:D6"/>
    <mergeCell ref="E6:F6"/>
    <mergeCell ref="G6:H6"/>
    <mergeCell ref="I6:J6"/>
    <mergeCell ref="A4:J4"/>
    <mergeCell ref="A5:B5"/>
    <mergeCell ref="C5:D5"/>
    <mergeCell ref="E5:F5"/>
    <mergeCell ref="G5:H5"/>
    <mergeCell ref="I5:J5"/>
  </mergeCells>
  <conditionalFormatting sqref="B9:B20">
    <cfRule type="dataBar" priority="2">
      <dataBar>
        <cfvo type="min"/>
        <cfvo type="max"/>
        <color rgb="FF7D3C98"/>
      </dataBar>
      <extLst>
        <ext xmlns:x14="http://schemas.microsoft.com/office/spreadsheetml/2009/9/main" uri="{B025F937-C7B1-47D3-B67F-A62EFF666E3E}">
          <x14:id>{604510AD-686F-49F2-B7FF-40D31385D25C}</x14:id>
        </ext>
      </extLst>
    </cfRule>
  </conditionalFormatting>
  <conditionalFormatting sqref="E9:E12">
    <cfRule type="colorScale" priority="3">
      <colorScale>
        <cfvo type="min"/>
        <cfvo type="max"/>
        <color rgb="FFFFFFFF"/>
        <color rgb="FF7D3C98"/>
      </colorScale>
    </cfRule>
  </conditionalFormatting>
  <conditionalFormatting sqref="H9:H12">
    <cfRule type="iconSet" priority="4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510AD-686F-49F2-B7FF-40D31385D25C}">
            <x14:dataBar axisPosition="none">
              <x14:cfvo type="min"/>
              <x14:cfvo type="max"/>
              <x14:negativeFillColor rgb="FF7D3C98"/>
            </x14:dataBar>
          </x14:cfRule>
          <xm:sqref>B9:B20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Cryz Bernard Gonzales</cp:lastModifiedBy>
  <cp:revision>1</cp:revision>
  <dcterms:created xsi:type="dcterms:W3CDTF">2026-05-18T23:48:56Z</dcterms:created>
  <dcterms:modified xsi:type="dcterms:W3CDTF">2026-07-01T13:20:39Z</dcterms:modified>
  <dc:language>en-US</dc:language>
</cp:coreProperties>
</file>