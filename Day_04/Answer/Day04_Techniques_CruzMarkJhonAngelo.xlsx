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96f5c588f37a5dc/Desktop/MJ/TESDA/Day_04/Answer/"/>
    </mc:Choice>
  </mc:AlternateContent>
  <xr:revisionPtr revIDLastSave="56" documentId="11_4BA07CCDE8F449FC0BE4AD8D11C200561A4F4C28" xr6:coauthVersionLast="47" xr6:coauthVersionMax="47" xr10:uidLastSave="{1E5B95BC-480C-4EB0-87C6-D26EF52656C3}"/>
  <bookViews>
    <workbookView xWindow="-120" yWindow="-120" windowWidth="29040" windowHeight="15720" activeTab="2" xr2:uid="{00000000-000D-0000-FFFF-FFFF00000000}"/>
  </bookViews>
  <sheets>
    <sheet name="Instructions" sheetId="1" r:id="rId1"/>
    <sheet name="Messy Orders" sheetId="2" r:id="rId2"/>
    <sheet name="Weighted Average" sheetId="3" r:id="rId3"/>
  </sheets>
  <definedNames>
    <definedName name="_xlnm._FilterDatabase" localSheetId="1" hidden="1">'Messy Orders'!$A$3:$E$27</definedName>
    <definedName name="_xlcn.WorksheetConnection_WeightedAverageC5C91" hidden="1">'Weighted Average'!$C$5:$C$9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Range" name="Range" connection="WorksheetConnection_Weighted Average!$C$5:$C$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3" l="1"/>
  <c r="D25" i="3"/>
  <c r="D23" i="3"/>
  <c r="D22" i="3"/>
  <c r="D21" i="3"/>
  <c r="D20" i="3"/>
  <c r="B14" i="3"/>
  <c r="B12" i="3"/>
  <c r="B13" i="3" s="1"/>
  <c r="B11" i="3"/>
  <c r="C9" i="3"/>
  <c r="C8" i="3"/>
  <c r="C7" i="3"/>
  <c r="C6" i="3"/>
  <c r="C5" i="3"/>
  <c r="E27" i="2"/>
  <c r="E26" i="2"/>
  <c r="E25" i="2"/>
  <c r="E24" i="2"/>
  <c r="E23" i="2"/>
  <c r="E22" i="2"/>
  <c r="H21" i="2"/>
  <c r="E21" i="2"/>
  <c r="H20" i="2"/>
  <c r="E20" i="2"/>
  <c r="H19" i="2"/>
  <c r="E19" i="2"/>
  <c r="H18" i="2"/>
  <c r="E18" i="2"/>
  <c r="E17" i="2"/>
  <c r="E16" i="2"/>
  <c r="E15" i="2"/>
  <c r="E14" i="2"/>
  <c r="H13" i="2"/>
  <c r="E13" i="2"/>
  <c r="E12" i="2"/>
  <c r="E11" i="2"/>
  <c r="E10" i="2"/>
  <c r="E9" i="2"/>
  <c r="E8" i="2"/>
  <c r="H7" i="2"/>
  <c r="E7" i="2"/>
  <c r="H6" i="2"/>
  <c r="E6" i="2"/>
  <c r="H5" i="2"/>
  <c r="E5" i="2"/>
  <c r="H4" i="2"/>
  <c r="E4" i="2"/>
  <c r="H10" i="2" s="1"/>
  <c r="H9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C60234-6AA2-4525-BB7A-215494C24DE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586889A-8799-442B-A823-65528C22D96B}" name="WorksheetConnection_Weighted Average!$C$5:$C$9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WeightedAverageC5C91"/>
        </x15:connection>
      </ext>
    </extLst>
  </connection>
</connections>
</file>

<file path=xl/sharedStrings.xml><?xml version="1.0" encoding="utf-8"?>
<sst xmlns="http://schemas.openxmlformats.org/spreadsheetml/2006/main" count="116" uniqueCount="92">
  <si>
    <t>Day 03 — Working with Data in Excel</t>
  </si>
  <si>
    <t>Data Analytics Level III | Techniques &amp; Industry Practice</t>
  </si>
  <si>
    <t>THIS WORKBOOK HAS TWO ACTIVITY SHEETS:</t>
  </si>
  <si>
    <t>1) 'Messy Orders' — a realistic, messy dataset to CLEAN (Activity 1).</t>
  </si>
  <si>
    <t xml:space="preserve">   The City column is spelled many different ways (Manila, manila, MLA, 'Manila ').</t>
  </si>
  <si>
    <t xml:space="preserve">   The prices are plain numbers with no formatting.</t>
  </si>
  <si>
    <t xml:space="preserve">   YOUR JOB:</t>
  </si>
  <si>
    <t xml:space="preserve">     a. Standardize the City column to 4 clean names using Find &amp; Replace:</t>
  </si>
  <si>
    <t xml:space="preserve">        Manila, Cebu, Davao, Quezon City</t>
  </si>
  <si>
    <t xml:space="preserve">     b. In the Total column, use a FORMULA: =Quantity*Unit Price, then fill down</t>
  </si>
  <si>
    <t xml:space="preserve">     c. Format Unit Price and Total as Currency (Peso, thousands separator)</t>
  </si>
  <si>
    <t xml:space="preserve">     d. In the cleanup area, use =COUNTIF to count orders per city</t>
  </si>
  <si>
    <t xml:space="preserve">     e. SORT by Total (largest first); then FILTER to show only Manila orders</t>
  </si>
  <si>
    <t xml:space="preserve">     f. Fill the Sales-by-City table (=SUMIF) and INSERT a column chart of it</t>
  </si>
  <si>
    <t>2) 'Weighted Average' — compute weighted averages (Activity 2).</t>
  </si>
  <si>
    <t xml:space="preserve">     Table A: a product's star-rating distribution (how many gave each score)</t>
  </si>
  <si>
    <t xml:space="preserve">     Table B: a student's course grade with weighted components</t>
  </si>
  <si>
    <t xml:space="preserve">     Compare the WEIGHTED average to the plain (naive) average.</t>
  </si>
  <si>
    <t>REMEMBER:</t>
  </si>
  <si>
    <t xml:space="preserve">   Clean data first — 'garbage in, garbage out'.</t>
  </si>
  <si>
    <t xml:space="preserve">   Use FORMULAS, not typed values, so your instructor can check the formula bar.</t>
  </si>
  <si>
    <t>Save your file as: Day03_Techniques_[YourName].xlsx</t>
  </si>
  <si>
    <t>Upload to the LMS before the next session.</t>
  </si>
  <si>
    <t>Customer Orders — RAW (needs cleaning)</t>
  </si>
  <si>
    <t>Order ID</t>
  </si>
  <si>
    <t>City (messy)</t>
  </si>
  <si>
    <t>Quantity</t>
  </si>
  <si>
    <t>Unit Price</t>
  </si>
  <si>
    <t>Total</t>
  </si>
  <si>
    <t>AFTER CLEANING — COUNTIF per city</t>
  </si>
  <si>
    <t>ORD-022</t>
  </si>
  <si>
    <t>Quezon City</t>
  </si>
  <si>
    <t>Manila:</t>
  </si>
  <si>
    <t>ORD-006</t>
  </si>
  <si>
    <t>Cebu</t>
  </si>
  <si>
    <t>Cebu:</t>
  </si>
  <si>
    <t>ORD-017</t>
  </si>
  <si>
    <t>Davao:</t>
  </si>
  <si>
    <t>ORD-020</t>
  </si>
  <si>
    <t>Davao</t>
  </si>
  <si>
    <t>Quezon City:</t>
  </si>
  <si>
    <t>ORD-011</t>
  </si>
  <si>
    <t>ORD-004</t>
  </si>
  <si>
    <t>Manila</t>
  </si>
  <si>
    <t>Grand Total (=SUM of Total):</t>
  </si>
  <si>
    <t>ORD-010</t>
  </si>
  <si>
    <t>Biggest single order (=MAX):</t>
  </si>
  <si>
    <t>ORD-019</t>
  </si>
  <si>
    <t>ORD-023</t>
  </si>
  <si>
    <t>After sorting &amp; filtering Manila,</t>
  </si>
  <si>
    <t>ORD-024</t>
  </si>
  <si>
    <t xml:space="preserve">  total Manila sales (=SUM):</t>
  </si>
  <si>
    <t>ORD-005</t>
  </si>
  <si>
    <t>ORD-009</t>
  </si>
  <si>
    <t>ORD-015</t>
  </si>
  <si>
    <t>SALES BY CITY (use =SUMIF, then chart it)</t>
  </si>
  <si>
    <t>ORD-018</t>
  </si>
  <si>
    <t>City</t>
  </si>
  <si>
    <t>Total Sales (=SUMIF)</t>
  </si>
  <si>
    <t>ORD-013</t>
  </si>
  <si>
    <t>ORD-021</t>
  </si>
  <si>
    <t>ORD-007</t>
  </si>
  <si>
    <t>ORD-014</t>
  </si>
  <si>
    <t>ORD-008</t>
  </si>
  <si>
    <t>ORD-002</t>
  </si>
  <si>
    <t>-&gt; Select G17:H21 and Insert a Column Chart titled "Total Sales by City".</t>
  </si>
  <si>
    <t>ORD-003</t>
  </si>
  <si>
    <t>ORD-012</t>
  </si>
  <si>
    <t>ORD-016</t>
  </si>
  <si>
    <t>ORD-001</t>
  </si>
  <si>
    <t>Weighted Average Practice</t>
  </si>
  <si>
    <t>TABLE A — Product Star Ratings</t>
  </si>
  <si>
    <t>Star Rating</t>
  </si>
  <si>
    <t># of Reviews</t>
  </si>
  <si>
    <t>Rating × Reviews</t>
  </si>
  <si>
    <t>Total reviews (=SUM):</t>
  </si>
  <si>
    <t>Sum of (Rating × Reviews):</t>
  </si>
  <si>
    <t>WEIGHTED average rating:</t>
  </si>
  <si>
    <t>Naive average (just 1-5)/5:</t>
  </si>
  <si>
    <t>Which is honest, and why?</t>
  </si>
  <si>
    <t>Weighted average is more honest because it accounts for the number of ratings.</t>
  </si>
  <si>
    <t>TABLE B — Course Grade (weighted components)</t>
  </si>
  <si>
    <t>Component</t>
  </si>
  <si>
    <t>Weight</t>
  </si>
  <si>
    <t>Score</t>
  </si>
  <si>
    <t>Weight × Score</t>
  </si>
  <si>
    <t>Quizzes</t>
  </si>
  <si>
    <t>Midterm</t>
  </si>
  <si>
    <t>Project</t>
  </si>
  <si>
    <t>Final</t>
  </si>
  <si>
    <t>Weighted grade (=SUM of W×S):</t>
  </si>
  <si>
    <t>Simple average of 4 scores: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</si>
</sst>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₱&quot;#,##0.00"/>
  </numFmts>
  <fonts count="12">
    <font>
      <sz val="11"/>
      <color theme="1"/>
      <name val="Calibri"/>
      <family val="2"/>
      <scheme val="minor"/>
    </font>
    <font>
      <b/>
      <sz val="16"/>
      <color rgb="FF1B3A5C"/>
      <name val="Calibri"/>
    </font>
    <font>
      <sz val="12"/>
      <color rgb="FF2E75B6"/>
      <name val="Calibri"/>
    </font>
    <font>
      <sz val="11"/>
      <name val="Calibri"/>
    </font>
    <font>
      <b/>
      <sz val="11"/>
      <name val="Calibri"/>
    </font>
    <font>
      <b/>
      <sz val="14"/>
      <color rgb="FF1B3A5C"/>
      <name val="Calibri"/>
    </font>
    <font>
      <b/>
      <sz val="11"/>
      <color rgb="FFFFFFFF"/>
      <name val="Calibri"/>
    </font>
    <font>
      <b/>
      <sz val="12"/>
      <color rgb="FF2E75B6"/>
      <name val="Calibri"/>
    </font>
    <font>
      <b/>
      <sz val="11"/>
      <color rgb="FF2E75B6"/>
      <name val="Calibri"/>
    </font>
    <font>
      <b/>
      <sz val="11"/>
      <color rgb="FF000000"/>
      <name val="Calibri"/>
    </font>
    <font>
      <sz val="11"/>
      <color rgb="FF000000"/>
      <name val="Calibri"/>
    </font>
    <font>
      <i/>
      <sz val="10"/>
      <color rgb="FFC0392B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0" fontId="3" fillId="0" borderId="1" xfId="0" applyFont="1" applyBorder="1" applyAlignment="1">
      <alignment horizontal="center" vertical="center"/>
    </xf>
    <xf numFmtId="0" fontId="8" fillId="0" borderId="0" xfId="0" applyFont="1"/>
    <xf numFmtId="0" fontId="3" fillId="3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0" xfId="0" applyFont="1"/>
    <xf numFmtId="9" fontId="0" fillId="0" borderId="1" xfId="0" applyNumberForma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 applyAlignment="1">
      <alignment horizontal="center"/>
    </xf>
    <xf numFmtId="0" fontId="5" fillId="0" borderId="0" xfId="0" applyFont="1"/>
    <xf numFmtId="0" fontId="0" fillId="0" borderId="0" xfId="0"/>
    <xf numFmtId="0" fontId="2" fillId="0" borderId="0" xfId="0" applyFont="1"/>
    <xf numFmtId="0" fontId="1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connections" Target="connections.xml"/><Relationship Id="rId10" Type="http://schemas.openxmlformats.org/officeDocument/2006/relationships/calcChain" Target="calcChain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by City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810499461077997"/>
          <c:y val="0.13412228796844181"/>
          <c:w val="0.83135358814011473"/>
          <c:h val="0.5776197797760487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'Messy Orders'!$H$17</c:f>
              <c:strCache>
                <c:ptCount val="1"/>
                <c:pt idx="0">
                  <c:v>Total Sales (=SUMIF)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23BC-4EAA-AD10-459635A1F510}"/>
              </c:ext>
            </c:extLst>
          </c:dPt>
          <c:cat>
            <c:strRef>
              <c:f>'Messy Orders'!$G$18:$G$21</c:f>
              <c:strCache>
                <c:ptCount val="1"/>
                <c:pt idx="0">
                  <c:v>Quezon City</c:v>
                </c:pt>
              </c:strCache>
            </c:strRef>
          </c:cat>
          <c:val>
            <c:numRef>
              <c:f>'Messy Orders'!$H$18:$H$21</c:f>
              <c:numCache>
                <c:formatCode>"₱"#,##0.00</c:formatCode>
                <c:ptCount val="1"/>
                <c:pt idx="0">
                  <c:v>5860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B1-4554-AF2B-DC722381B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City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₱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Same Product, Two "Averages"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'Weighted Average'!$A$13:$A$14</c:f>
              <c:strCache>
                <c:ptCount val="2"/>
                <c:pt idx="0">
                  <c:v>WEIGHTED average rating:</c:v>
                </c:pt>
                <c:pt idx="1">
                  <c:v>Naive average (just 1-5)/5:</c:v>
                </c:pt>
              </c:strCache>
            </c:strRef>
          </c:cat>
          <c:val>
            <c:numRef>
              <c:f>'Weighted Average'!$B$13:$B$14</c:f>
              <c:numCache>
                <c:formatCode>General</c:formatCode>
                <c:ptCount val="2"/>
                <c:pt idx="0">
                  <c:v>3.9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1F-40FA-8BBD-754D7A777A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134705871"/>
        <c:axId val="2049800207"/>
      </c:barChart>
      <c:catAx>
        <c:axId val="2134705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800207"/>
        <c:crosses val="autoZero"/>
        <c:auto val="1"/>
        <c:lblAlgn val="ctr"/>
        <c:lblOffset val="100"/>
        <c:noMultiLvlLbl val="0"/>
      </c:catAx>
      <c:valAx>
        <c:axId val="20498002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34705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111111111111109E-2"/>
          <c:y val="0"/>
          <c:w val="0.89166666666666661"/>
          <c:h val="0.89814814814814814"/>
        </c:manualLayout>
      </c:layout>
      <c:lineChart>
        <c:grouping val="standard"/>
        <c:varyColors val="0"/>
        <c:ser>
          <c:idx val="0"/>
          <c:order val="0"/>
          <c:tx>
            <c:strRef>
              <c:f>'Weighted Average'!$C$4</c:f>
              <c:strCache>
                <c:ptCount val="1"/>
                <c:pt idx="0">
                  <c:v>Rating × Reviews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'Weighted Average'!$C$5:$C$9</c:f>
              <c:numCache>
                <c:formatCode>General</c:formatCode>
                <c:ptCount val="5"/>
                <c:pt idx="0">
                  <c:v>200</c:v>
                </c:pt>
                <c:pt idx="1">
                  <c:v>120</c:v>
                </c:pt>
                <c:pt idx="2">
                  <c:v>45</c:v>
                </c:pt>
                <c:pt idx="3">
                  <c:v>20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CD-467F-B3B3-BF8BA5B76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5747663"/>
        <c:axId val="2049835727"/>
      </c:lineChart>
      <c:catAx>
        <c:axId val="20557476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49835727"/>
        <c:crosses val="autoZero"/>
        <c:auto val="1"/>
        <c:lblAlgn val="ctr"/>
        <c:lblOffset val="100"/>
        <c:noMultiLvlLbl val="0"/>
      </c:catAx>
      <c:valAx>
        <c:axId val="204983572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55747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123825</xdr:colOff>
      <xdr:row>24</xdr:row>
      <xdr:rowOff>0</xdr:rowOff>
    </xdr:from>
    <xdr:ext cx="6219824" cy="32194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228599</xdr:rowOff>
    </xdr:from>
    <xdr:to>
      <xdr:col>10</xdr:col>
      <xdr:colOff>600075</xdr:colOff>
      <xdr:row>14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51385EF-848D-FA37-E28D-9FA9837AC4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1062038</xdr:colOff>
      <xdr:row>2</xdr:row>
      <xdr:rowOff>180975</xdr:rowOff>
    </xdr:from>
    <xdr:to>
      <xdr:col>3</xdr:col>
      <xdr:colOff>1057275</xdr:colOff>
      <xdr:row>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BB3C4E0-A0F9-59A6-E366-40A858AE5D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workbookViewId="0">
      <selection activeCell="A9" sqref="A9"/>
    </sheetView>
  </sheetViews>
  <sheetFormatPr defaultRowHeight="15"/>
  <cols>
    <col min="1" max="1" width="86" customWidth="1"/>
  </cols>
  <sheetData>
    <row r="1" spans="1:6" ht="21">
      <c r="A1" s="21" t="s">
        <v>0</v>
      </c>
      <c r="B1" s="19"/>
      <c r="C1" s="19"/>
      <c r="D1" s="19"/>
      <c r="E1" s="19"/>
      <c r="F1" s="19"/>
    </row>
    <row r="2" spans="1:6" ht="15.75">
      <c r="A2" s="20" t="s">
        <v>1</v>
      </c>
      <c r="B2" s="19"/>
      <c r="C2" s="19"/>
      <c r="D2" s="19"/>
      <c r="E2" s="19"/>
      <c r="F2" s="19"/>
    </row>
    <row r="4" spans="1:6">
      <c r="A4" s="1"/>
    </row>
    <row r="5" spans="1:6">
      <c r="A5" s="2" t="s">
        <v>2</v>
      </c>
    </row>
    <row r="6" spans="1:6">
      <c r="A6" s="1"/>
    </row>
    <row r="7" spans="1:6">
      <c r="A7" s="1" t="s">
        <v>3</v>
      </c>
    </row>
    <row r="8" spans="1:6">
      <c r="A8" s="1" t="s">
        <v>4</v>
      </c>
    </row>
    <row r="9" spans="1:6">
      <c r="A9" s="1" t="s">
        <v>5</v>
      </c>
    </row>
    <row r="10" spans="1:6">
      <c r="A10" s="1" t="s">
        <v>6</v>
      </c>
    </row>
    <row r="11" spans="1:6">
      <c r="A11" s="1" t="s">
        <v>7</v>
      </c>
    </row>
    <row r="12" spans="1:6">
      <c r="A12" s="1" t="s">
        <v>8</v>
      </c>
    </row>
    <row r="13" spans="1:6">
      <c r="A13" s="1" t="s">
        <v>9</v>
      </c>
    </row>
    <row r="14" spans="1:6">
      <c r="A14" s="1" t="s">
        <v>10</v>
      </c>
    </row>
    <row r="15" spans="1:6">
      <c r="A15" s="1" t="s">
        <v>11</v>
      </c>
    </row>
    <row r="16" spans="1:6">
      <c r="A16" s="1" t="s">
        <v>12</v>
      </c>
    </row>
    <row r="17" spans="1:1">
      <c r="A17" s="1" t="s">
        <v>13</v>
      </c>
    </row>
    <row r="18" spans="1:1">
      <c r="A18" s="1"/>
    </row>
    <row r="19" spans="1:1">
      <c r="A19" s="1" t="s">
        <v>14</v>
      </c>
    </row>
    <row r="20" spans="1:1">
      <c r="A20" s="1" t="s">
        <v>15</v>
      </c>
    </row>
    <row r="21" spans="1:1">
      <c r="A21" s="1" t="s">
        <v>16</v>
      </c>
    </row>
    <row r="22" spans="1:1">
      <c r="A22" s="1" t="s">
        <v>17</v>
      </c>
    </row>
    <row r="23" spans="1:1">
      <c r="A23" s="1"/>
    </row>
    <row r="24" spans="1:1">
      <c r="A24" s="2" t="s">
        <v>18</v>
      </c>
    </row>
    <row r="25" spans="1:1">
      <c r="A25" s="1" t="s">
        <v>19</v>
      </c>
    </row>
    <row r="26" spans="1:1">
      <c r="A26" s="1" t="s">
        <v>20</v>
      </c>
    </row>
    <row r="27" spans="1:1">
      <c r="A27" s="1"/>
    </row>
    <row r="28" spans="1:1">
      <c r="A28" s="2" t="s">
        <v>21</v>
      </c>
    </row>
    <row r="29" spans="1:1">
      <c r="A29" s="1" t="s">
        <v>22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I27"/>
  <sheetViews>
    <sheetView workbookViewId="0">
      <selection activeCell="H21" sqref="H21"/>
    </sheetView>
  </sheetViews>
  <sheetFormatPr defaultRowHeight="15"/>
  <cols>
    <col min="1" max="1" width="11" customWidth="1"/>
    <col min="2" max="2" width="16" customWidth="1"/>
    <col min="3" max="3" width="10" customWidth="1"/>
    <col min="4" max="5" width="12" customWidth="1"/>
    <col min="7" max="7" width="28" customWidth="1"/>
    <col min="8" max="8" width="14" customWidth="1"/>
  </cols>
  <sheetData>
    <row r="1" spans="1:9" ht="18.75">
      <c r="A1" s="18" t="s">
        <v>23</v>
      </c>
      <c r="B1" s="19"/>
      <c r="C1" s="19"/>
      <c r="D1" s="19"/>
      <c r="E1" s="19"/>
    </row>
    <row r="3" spans="1:9" ht="15.75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G3" s="22" t="s">
        <v>29</v>
      </c>
      <c r="H3" s="19"/>
      <c r="I3" s="19"/>
    </row>
    <row r="4" spans="1:9" hidden="1">
      <c r="A4" s="5" t="s">
        <v>30</v>
      </c>
      <c r="B4" s="5" t="s">
        <v>31</v>
      </c>
      <c r="C4" s="5">
        <v>2</v>
      </c>
      <c r="D4" s="14">
        <v>650</v>
      </c>
      <c r="E4" s="14">
        <f t="shared" ref="E4:E27" si="0">C4*D4</f>
        <v>1300</v>
      </c>
      <c r="G4" s="6" t="s">
        <v>32</v>
      </c>
      <c r="H4">
        <f>COUNTIF(B4:B27, "Manila")</f>
        <v>7</v>
      </c>
    </row>
    <row r="5" spans="1:9" hidden="1">
      <c r="A5" s="7" t="s">
        <v>33</v>
      </c>
      <c r="B5" s="7" t="s">
        <v>34</v>
      </c>
      <c r="C5" s="7">
        <v>4</v>
      </c>
      <c r="D5" s="15">
        <v>300</v>
      </c>
      <c r="E5" s="15">
        <f t="shared" si="0"/>
        <v>1200</v>
      </c>
      <c r="G5" s="6" t="s">
        <v>35</v>
      </c>
      <c r="H5">
        <f>COUNTIF(B4:B27, "Cebu")</f>
        <v>6</v>
      </c>
    </row>
    <row r="6" spans="1:9" hidden="1">
      <c r="A6" s="5" t="s">
        <v>36</v>
      </c>
      <c r="B6" s="5" t="s">
        <v>34</v>
      </c>
      <c r="C6" s="5">
        <v>2</v>
      </c>
      <c r="D6" s="14">
        <v>600</v>
      </c>
      <c r="E6" s="14">
        <f t="shared" si="0"/>
        <v>1200</v>
      </c>
      <c r="G6" s="6" t="s">
        <v>37</v>
      </c>
      <c r="H6">
        <f>COUNTIF(B4:B27, "Davao")</f>
        <v>5</v>
      </c>
    </row>
    <row r="7" spans="1:9" hidden="1">
      <c r="A7" s="7" t="s">
        <v>38</v>
      </c>
      <c r="B7" s="7" t="s">
        <v>39</v>
      </c>
      <c r="C7" s="7">
        <v>4</v>
      </c>
      <c r="D7" s="15">
        <v>270</v>
      </c>
      <c r="E7" s="15">
        <f t="shared" si="0"/>
        <v>1080</v>
      </c>
      <c r="G7" s="6" t="s">
        <v>40</v>
      </c>
      <c r="H7">
        <f>COUNTIF(B4:B27, "Quezon City")</f>
        <v>6</v>
      </c>
    </row>
    <row r="8" spans="1:9" hidden="1">
      <c r="A8" s="5" t="s">
        <v>41</v>
      </c>
      <c r="B8" s="5" t="s">
        <v>31</v>
      </c>
      <c r="C8" s="5">
        <v>3</v>
      </c>
      <c r="D8" s="14">
        <v>350</v>
      </c>
      <c r="E8" s="14">
        <f t="shared" si="0"/>
        <v>1050</v>
      </c>
    </row>
    <row r="9" spans="1:9">
      <c r="A9" s="7" t="s">
        <v>42</v>
      </c>
      <c r="B9" s="7" t="s">
        <v>43</v>
      </c>
      <c r="C9" s="7">
        <v>2</v>
      </c>
      <c r="D9" s="15">
        <v>500</v>
      </c>
      <c r="E9" s="15">
        <f t="shared" si="0"/>
        <v>1000</v>
      </c>
      <c r="G9" s="6" t="s">
        <v>44</v>
      </c>
      <c r="H9" s="16">
        <f>SUM(E4:E27)</f>
        <v>21825</v>
      </c>
    </row>
    <row r="10" spans="1:9" hidden="1">
      <c r="A10" s="5" t="s">
        <v>45</v>
      </c>
      <c r="B10" s="5" t="s">
        <v>39</v>
      </c>
      <c r="C10" s="5">
        <v>5</v>
      </c>
      <c r="D10" s="14">
        <v>200</v>
      </c>
      <c r="E10" s="14">
        <f t="shared" si="0"/>
        <v>1000</v>
      </c>
      <c r="G10" s="6" t="s">
        <v>46</v>
      </c>
      <c r="H10" s="16">
        <f>MAX(E4:E27)</f>
        <v>1300</v>
      </c>
    </row>
    <row r="11" spans="1:9" hidden="1">
      <c r="A11" s="7" t="s">
        <v>47</v>
      </c>
      <c r="B11" s="7" t="s">
        <v>34</v>
      </c>
      <c r="C11" s="7">
        <v>3</v>
      </c>
      <c r="D11" s="15">
        <v>320</v>
      </c>
      <c r="E11" s="15">
        <f t="shared" si="0"/>
        <v>960</v>
      </c>
    </row>
    <row r="12" spans="1:9" hidden="1">
      <c r="A12" s="5" t="s">
        <v>48</v>
      </c>
      <c r="B12" s="5" t="s">
        <v>31</v>
      </c>
      <c r="C12" s="5">
        <v>6</v>
      </c>
      <c r="D12" s="14">
        <v>160</v>
      </c>
      <c r="E12" s="14">
        <f t="shared" si="0"/>
        <v>960</v>
      </c>
      <c r="G12" s="8" t="s">
        <v>49</v>
      </c>
    </row>
    <row r="13" spans="1:9" hidden="1">
      <c r="A13" s="7" t="s">
        <v>50</v>
      </c>
      <c r="B13" s="7" t="s">
        <v>31</v>
      </c>
      <c r="C13" s="7">
        <v>5</v>
      </c>
      <c r="D13" s="15">
        <v>190</v>
      </c>
      <c r="E13" s="15">
        <f t="shared" si="0"/>
        <v>950</v>
      </c>
      <c r="G13" s="9" t="s">
        <v>51</v>
      </c>
      <c r="H13" s="16">
        <f>SUBTOTAL(9, E4:E27)</f>
        <v>5415</v>
      </c>
    </row>
    <row r="14" spans="1:9" hidden="1">
      <c r="A14" s="5" t="s">
        <v>52</v>
      </c>
      <c r="B14" s="5" t="s">
        <v>34</v>
      </c>
      <c r="C14" s="5">
        <v>6</v>
      </c>
      <c r="D14" s="14">
        <v>150</v>
      </c>
      <c r="E14" s="14">
        <f t="shared" si="0"/>
        <v>900</v>
      </c>
    </row>
    <row r="15" spans="1:9" hidden="1">
      <c r="A15" s="7" t="s">
        <v>53</v>
      </c>
      <c r="B15" s="7" t="s">
        <v>39</v>
      </c>
      <c r="C15" s="7">
        <v>2</v>
      </c>
      <c r="D15" s="15">
        <v>450</v>
      </c>
      <c r="E15" s="15">
        <f t="shared" si="0"/>
        <v>900</v>
      </c>
    </row>
    <row r="16" spans="1:9" ht="15.75">
      <c r="A16" s="5" t="s">
        <v>54</v>
      </c>
      <c r="B16" s="5" t="s">
        <v>43</v>
      </c>
      <c r="C16" s="5">
        <v>1</v>
      </c>
      <c r="D16" s="14">
        <v>900</v>
      </c>
      <c r="E16" s="14">
        <f t="shared" si="0"/>
        <v>900</v>
      </c>
      <c r="G16" s="4" t="s">
        <v>55</v>
      </c>
    </row>
    <row r="17" spans="1:8" hidden="1">
      <c r="A17" s="7" t="s">
        <v>56</v>
      </c>
      <c r="B17" s="7" t="s">
        <v>34</v>
      </c>
      <c r="C17" s="7">
        <v>5</v>
      </c>
      <c r="D17" s="15">
        <v>180</v>
      </c>
      <c r="E17" s="15">
        <f t="shared" si="0"/>
        <v>900</v>
      </c>
      <c r="G17" s="3" t="s">
        <v>57</v>
      </c>
      <c r="H17" s="3" t="s">
        <v>58</v>
      </c>
    </row>
    <row r="18" spans="1:8" hidden="1">
      <c r="A18" s="5" t="s">
        <v>59</v>
      </c>
      <c r="B18" s="5" t="s">
        <v>31</v>
      </c>
      <c r="C18" s="5">
        <v>4</v>
      </c>
      <c r="D18" s="14">
        <v>220</v>
      </c>
      <c r="E18" s="14">
        <f t="shared" si="0"/>
        <v>880</v>
      </c>
      <c r="G18" s="10" t="s">
        <v>43</v>
      </c>
      <c r="H18" s="17">
        <f>SUMIF(B4:B27, G18, E4:E27)</f>
        <v>5415</v>
      </c>
    </row>
    <row r="19" spans="1:8" hidden="1">
      <c r="A19" s="7" t="s">
        <v>60</v>
      </c>
      <c r="B19" s="7" t="s">
        <v>39</v>
      </c>
      <c r="C19" s="7">
        <v>8</v>
      </c>
      <c r="D19" s="15">
        <v>105</v>
      </c>
      <c r="E19" s="15">
        <f t="shared" si="0"/>
        <v>840</v>
      </c>
      <c r="G19" s="10" t="s">
        <v>34</v>
      </c>
      <c r="H19" s="17">
        <f>SUMIF(B4:B27, G19, E4:E27)</f>
        <v>5960</v>
      </c>
    </row>
    <row r="20" spans="1:8" hidden="1">
      <c r="A20" s="5" t="s">
        <v>61</v>
      </c>
      <c r="B20" s="5" t="s">
        <v>34</v>
      </c>
      <c r="C20" s="5">
        <v>1</v>
      </c>
      <c r="D20" s="14">
        <v>800</v>
      </c>
      <c r="E20" s="14">
        <f t="shared" si="0"/>
        <v>800</v>
      </c>
      <c r="G20" s="10" t="s">
        <v>39</v>
      </c>
      <c r="H20" s="17">
        <f>SUMIF(B4:B27, G20, E4:E27)</f>
        <v>4590</v>
      </c>
    </row>
    <row r="21" spans="1:8">
      <c r="A21" s="7" t="s">
        <v>62</v>
      </c>
      <c r="B21" s="7" t="s">
        <v>43</v>
      </c>
      <c r="C21" s="7">
        <v>6</v>
      </c>
      <c r="D21" s="15">
        <v>130</v>
      </c>
      <c r="E21" s="15">
        <f t="shared" si="0"/>
        <v>780</v>
      </c>
      <c r="G21" s="10" t="s">
        <v>31</v>
      </c>
      <c r="H21" s="17">
        <f>SUMIF(B4:B27, G21, E4:E27)</f>
        <v>5860</v>
      </c>
    </row>
    <row r="22" spans="1:8" hidden="1">
      <c r="A22" s="5" t="s">
        <v>63</v>
      </c>
      <c r="B22" s="5" t="s">
        <v>39</v>
      </c>
      <c r="C22" s="5">
        <v>7</v>
      </c>
      <c r="D22" s="14">
        <v>110</v>
      </c>
      <c r="E22" s="14">
        <f t="shared" si="0"/>
        <v>770</v>
      </c>
    </row>
    <row r="23" spans="1:8">
      <c r="A23" s="7" t="s">
        <v>64</v>
      </c>
      <c r="B23" s="7" t="s">
        <v>43</v>
      </c>
      <c r="C23" s="7">
        <v>3</v>
      </c>
      <c r="D23" s="15">
        <v>250</v>
      </c>
      <c r="E23" s="15">
        <f t="shared" si="0"/>
        <v>750</v>
      </c>
      <c r="G23" s="12" t="s">
        <v>65</v>
      </c>
    </row>
    <row r="24" spans="1:8">
      <c r="A24" s="5" t="s">
        <v>66</v>
      </c>
      <c r="B24" s="5" t="s">
        <v>43</v>
      </c>
      <c r="C24" s="5">
        <v>8</v>
      </c>
      <c r="D24" s="14">
        <v>90</v>
      </c>
      <c r="E24" s="14">
        <f t="shared" si="0"/>
        <v>720</v>
      </c>
    </row>
    <row r="25" spans="1:8" hidden="1">
      <c r="A25" s="7" t="s">
        <v>67</v>
      </c>
      <c r="B25" s="7" t="s">
        <v>31</v>
      </c>
      <c r="C25" s="7">
        <v>9</v>
      </c>
      <c r="D25" s="15">
        <v>80</v>
      </c>
      <c r="E25" s="15">
        <f t="shared" si="0"/>
        <v>720</v>
      </c>
    </row>
    <row r="26" spans="1:8">
      <c r="A26" s="5" t="s">
        <v>68</v>
      </c>
      <c r="B26" s="5" t="s">
        <v>43</v>
      </c>
      <c r="C26" s="5">
        <v>7</v>
      </c>
      <c r="D26" s="14">
        <v>95</v>
      </c>
      <c r="E26" s="14">
        <f t="shared" si="0"/>
        <v>665</v>
      </c>
    </row>
    <row r="27" spans="1:8">
      <c r="A27" s="7" t="s">
        <v>69</v>
      </c>
      <c r="B27" s="7" t="s">
        <v>43</v>
      </c>
      <c r="C27" s="7">
        <v>5</v>
      </c>
      <c r="D27" s="15">
        <v>120</v>
      </c>
      <c r="E27" s="15">
        <f t="shared" si="0"/>
        <v>600</v>
      </c>
    </row>
  </sheetData>
  <autoFilter ref="A3:E27" xr:uid="{00000000-0009-0000-0000-000001000000}">
    <filterColumn colId="1">
      <filters>
        <filter val="Manila"/>
      </filters>
    </filterColumn>
    <sortState xmlns:xlrd2="http://schemas.microsoft.com/office/spreadsheetml/2017/richdata2" ref="A3:E27">
      <sortCondition descending="1" ref="E4:E27"/>
    </sortState>
  </autoFilter>
  <mergeCells count="2">
    <mergeCell ref="A1:E1"/>
    <mergeCell ref="G3:I3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tabSelected="1" workbookViewId="0">
      <selection activeCell="N13" sqref="N13"/>
    </sheetView>
  </sheetViews>
  <sheetFormatPr defaultRowHeight="15"/>
  <cols>
    <col min="1" max="1" width="26" customWidth="1"/>
    <col min="2" max="2" width="14" customWidth="1"/>
    <col min="3" max="4" width="16" customWidth="1"/>
  </cols>
  <sheetData>
    <row r="1" spans="1:4" ht="18.75">
      <c r="A1" s="18" t="s">
        <v>70</v>
      </c>
      <c r="B1" s="19"/>
      <c r="C1" s="19"/>
      <c r="D1" s="19"/>
    </row>
    <row r="3" spans="1:4" ht="15.75">
      <c r="A3" s="4" t="s">
        <v>71</v>
      </c>
    </row>
    <row r="4" spans="1:4">
      <c r="A4" s="3" t="s">
        <v>72</v>
      </c>
      <c r="B4" s="3" t="s">
        <v>73</v>
      </c>
      <c r="C4" s="3" t="s">
        <v>74</v>
      </c>
    </row>
    <row r="5" spans="1:4">
      <c r="A5" s="11">
        <v>5</v>
      </c>
      <c r="B5" s="11">
        <v>40</v>
      </c>
      <c r="C5" s="11">
        <f>A5*B5</f>
        <v>200</v>
      </c>
    </row>
    <row r="6" spans="1:4">
      <c r="A6" s="11">
        <v>4</v>
      </c>
      <c r="B6" s="11">
        <v>30</v>
      </c>
      <c r="C6" s="11">
        <f>A6*B6</f>
        <v>120</v>
      </c>
    </row>
    <row r="7" spans="1:4">
      <c r="A7" s="11">
        <v>3</v>
      </c>
      <c r="B7" s="11">
        <v>15</v>
      </c>
      <c r="C7" s="11">
        <f>A7*B7</f>
        <v>45</v>
      </c>
    </row>
    <row r="8" spans="1:4">
      <c r="A8" s="11">
        <v>2</v>
      </c>
      <c r="B8" s="11">
        <v>10</v>
      </c>
      <c r="C8" s="11">
        <f>A8*B8</f>
        <v>20</v>
      </c>
    </row>
    <row r="9" spans="1:4">
      <c r="A9" s="11">
        <v>1</v>
      </c>
      <c r="B9" s="11">
        <v>5</v>
      </c>
      <c r="C9" s="11">
        <f>A9*B9</f>
        <v>5</v>
      </c>
    </row>
    <row r="11" spans="1:4">
      <c r="A11" s="6" t="s">
        <v>75</v>
      </c>
      <c r="B11">
        <f>SUM(B5:B9)</f>
        <v>100</v>
      </c>
    </row>
    <row r="12" spans="1:4">
      <c r="A12" s="6" t="s">
        <v>76</v>
      </c>
      <c r="B12">
        <f>SUM(C5:C9)</f>
        <v>390</v>
      </c>
    </row>
    <row r="13" spans="1:4">
      <c r="A13" s="6" t="s">
        <v>77</v>
      </c>
      <c r="B13">
        <f>B12/B11</f>
        <v>3.9</v>
      </c>
    </row>
    <row r="14" spans="1:4">
      <c r="A14" s="6" t="s">
        <v>78</v>
      </c>
      <c r="B14">
        <f>AVERAGE(A5:A9)</f>
        <v>3</v>
      </c>
    </row>
    <row r="15" spans="1:4">
      <c r="A15" s="8" t="s">
        <v>79</v>
      </c>
      <c r="C15" t="s">
        <v>80</v>
      </c>
    </row>
    <row r="18" spans="1:4" ht="15.75">
      <c r="A18" s="4" t="s">
        <v>81</v>
      </c>
    </row>
    <row r="19" spans="1:4">
      <c r="A19" s="3" t="s">
        <v>82</v>
      </c>
      <c r="B19" s="3" t="s">
        <v>83</v>
      </c>
      <c r="C19" s="3" t="s">
        <v>84</v>
      </c>
      <c r="D19" s="3" t="s">
        <v>85</v>
      </c>
    </row>
    <row r="20" spans="1:4">
      <c r="A20" s="11" t="s">
        <v>86</v>
      </c>
      <c r="B20" s="13">
        <v>0.2</v>
      </c>
      <c r="C20" s="11">
        <v>85</v>
      </c>
      <c r="D20" s="11">
        <f>B20*C20</f>
        <v>17</v>
      </c>
    </row>
    <row r="21" spans="1:4">
      <c r="A21" s="11" t="s">
        <v>87</v>
      </c>
      <c r="B21" s="13">
        <v>0.3</v>
      </c>
      <c r="C21" s="11">
        <v>78</v>
      </c>
      <c r="D21" s="11">
        <f>B21*C21</f>
        <v>23.4</v>
      </c>
    </row>
    <row r="22" spans="1:4">
      <c r="A22" s="11" t="s">
        <v>88</v>
      </c>
      <c r="B22" s="13">
        <v>0.2</v>
      </c>
      <c r="C22" s="11">
        <v>92</v>
      </c>
      <c r="D22" s="11">
        <f>B22*C22</f>
        <v>18.400000000000002</v>
      </c>
    </row>
    <row r="23" spans="1:4">
      <c r="A23" s="11" t="s">
        <v>89</v>
      </c>
      <c r="B23" s="13">
        <v>0.3</v>
      </c>
      <c r="C23" s="11">
        <v>80</v>
      </c>
      <c r="D23" s="11">
        <f>B23*C23</f>
        <v>24</v>
      </c>
    </row>
    <row r="25" spans="1:4">
      <c r="A25" s="6" t="s">
        <v>90</v>
      </c>
      <c r="D25">
        <f>SUM(D20:D24)</f>
        <v>82.8</v>
      </c>
    </row>
    <row r="26" spans="1:4">
      <c r="A26" s="6" t="s">
        <v>91</v>
      </c>
      <c r="D26">
        <f>AVERAGE(C20:C23)</f>
        <v>83.75</v>
      </c>
    </row>
  </sheetData>
  <mergeCells count="1">
    <mergeCell ref="A1:D1"/>
  </mergeCells>
  <conditionalFormatting sqref="C5:C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{B614ED23-F53F-41AF-A7F3-EEB96C483564}</x14:id>
        </ext>
      </extLst>
    </cfRule>
  </conditionalFormatting>
  <conditionalFormatting sqref="D20:D2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{BA8F41E7-3D42-4284-BDA9-FA1A7BE4A45E}</x14:id>
        </ext>
      </extLst>
    </cfRule>
  </conditionalFormatting>
  <pageMargins left="0.75" right="0.75" top="1" bottom="1" header="0.5" footer="0.5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14ED23-F53F-41AF-A7F3-EEB96C4835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C5:C9</xm:sqref>
        </x14:conditionalFormatting>
        <x14:conditionalFormatting xmlns:xm="http://schemas.microsoft.com/office/excel/2006/main">
          <x14:cfRule type="dataBar" id="{BA8F41E7-3D42-4284-BDA9-FA1A7BE4A4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D20:D23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DC34683B-1F0F-4503-AF18-5B651CA3FA17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967B6B5E-D5D2-482F-BE01-8557EA182AB5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Messy Orders</vt:lpstr>
      <vt:lpstr>Weighted Average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Cryz Bernard Gonzales</cp:lastModifiedBy>
  <dcterms:created xsi:type="dcterms:W3CDTF">2026-07-02T06:56:49Z</dcterms:created>
  <dcterms:modified xsi:type="dcterms:W3CDTF">2026-07-05T13:22:34Z</dcterms:modified>
</cp:coreProperties>
</file>