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96f5c588f37a5dc/Desktop/MJ/TESDA/DAY_02/"/>
    </mc:Choice>
  </mc:AlternateContent>
  <xr:revisionPtr revIDLastSave="92" documentId="11_BFAD558DC58A66C24F04F07735E623BACDD4E759" xr6:coauthVersionLast="47" xr6:coauthVersionMax="47" xr10:uidLastSave="{A107BA8F-2596-4B1B-96E5-B98F22B2B12A}"/>
  <bookViews>
    <workbookView xWindow="-105" yWindow="0" windowWidth="14610" windowHeight="15585" firstSheet="3" activeTab="3" xr2:uid="{00000000-000D-0000-FFFF-FFFF00000000}"/>
  </bookViews>
  <sheets>
    <sheet name="Instructions" sheetId="1" r:id="rId1"/>
    <sheet name="Dataset A - Store Sales" sheetId="2" r:id="rId2"/>
    <sheet name="Dataset B - Employee Ages" sheetId="3" r:id="rId3"/>
    <sheet name="Dataset C - Customer Rat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F6" i="4"/>
  <c r="F5" i="4"/>
  <c r="F4" i="4"/>
  <c r="F12" i="4"/>
  <c r="F11" i="4"/>
  <c r="F10" i="4"/>
  <c r="F13" i="4"/>
  <c r="F9" i="4"/>
  <c r="F9" i="3"/>
  <c r="F8" i="3"/>
  <c r="F7" i="3"/>
  <c r="F6" i="3"/>
  <c r="F5" i="3"/>
  <c r="F4" i="3"/>
  <c r="F10" i="2"/>
  <c r="F9" i="2"/>
  <c r="F8" i="2"/>
  <c r="F7" i="2"/>
  <c r="F5" i="2"/>
  <c r="F4" i="2"/>
  <c r="F8" i="4" l="1"/>
</calcChain>
</file>

<file path=xl/sharedStrings.xml><?xml version="1.0" encoding="utf-8"?>
<sst xmlns="http://schemas.openxmlformats.org/spreadsheetml/2006/main" count="182" uniqueCount="153">
  <si>
    <t>Day 02 — Central Tendency Worksheet</t>
  </si>
  <si>
    <t>Data Analytics Level III | Activity 1</t>
  </si>
  <si>
    <t>INSTRUCTIONS:</t>
  </si>
  <si>
    <t>This workbook contains 3 datasets for you to practice measures of central tendency.</t>
  </si>
  <si>
    <t>Complete ALL calculations using Excel formulas (not typed values).</t>
  </si>
  <si>
    <t>For each dataset, you must:</t>
  </si>
  <si>
    <t xml:space="preserve">  1. Calculate the Mean, Median, and Mode</t>
  </si>
  <si>
    <t xml:space="preserve">  2. Use additional functions as specified (SUM, COUNT, MIN, MAX, COUNTIF)</t>
  </si>
  <si>
    <t xml:space="preserve">  3. Write a 2-3 sentence interpretation of your results</t>
  </si>
  <si>
    <t>DATASETS:</t>
  </si>
  <si>
    <t xml:space="preserve">  • Dataset A — Sari-Sari Store Daily Sales (30 days of data)</t>
  </si>
  <si>
    <t xml:space="preserve">  • Dataset B — Company Employee Ages (25 employees)</t>
  </si>
  <si>
    <t xml:space="preserve">  • Dataset C — Restaurant Customer Ratings (40 responses, scale 1-5)</t>
  </si>
  <si>
    <t>IMPORTANT REMINDERS:</t>
  </si>
  <si>
    <t xml:space="preserve">  • Use =AVERAGE() for Mean, =MEDIAN() for Median, =MODE.SNGL() for Mode</t>
  </si>
  <si>
    <t xml:space="preserve">  • Use =COUNTIF(range, criteria) to count ratings in Dataset C</t>
  </si>
  <si>
    <t xml:space="preserve">  • Your interpretation should explain WHICH measure best represents the data and WHY</t>
  </si>
  <si>
    <t xml:space="preserve">  • Save your file as: Day02_Activity1_[YourName].xlsx</t>
  </si>
  <si>
    <t>SUBMISSION: Upload completed file to the LMS before the next session.</t>
  </si>
  <si>
    <t>Dataset A — Sari-Sari Store Daily Sales (June 2025)</t>
  </si>
  <si>
    <t>Day</t>
  </si>
  <si>
    <t>Day Name</t>
  </si>
  <si>
    <t>Daily Sales (₱)</t>
  </si>
  <si>
    <t>YOUR CALCULATIONS</t>
  </si>
  <si>
    <t>Sunday</t>
  </si>
  <si>
    <t>Mean (Average Sales):</t>
  </si>
  <si>
    <t>Monday</t>
  </si>
  <si>
    <t>Median Sales:</t>
  </si>
  <si>
    <t>Tuesday</t>
  </si>
  <si>
    <t>Mode:</t>
  </si>
  <si>
    <t>Wednesday</t>
  </si>
  <si>
    <t>Total Sales (SUM):</t>
  </si>
  <si>
    <t>Thursday</t>
  </si>
  <si>
    <t>Number of Days (COUNT):</t>
  </si>
  <si>
    <t>Friday</t>
  </si>
  <si>
    <t>Highest Sales (MAX):</t>
  </si>
  <si>
    <t>Saturday</t>
  </si>
  <si>
    <t>Lowest Sales (MIN):</t>
  </si>
  <si>
    <t>Interpretation (2-3 sentences):</t>
  </si>
  <si>
    <t>Dataset B — Company Employee Data</t>
  </si>
  <si>
    <t>Employee ID</t>
  </si>
  <si>
    <t>Name</t>
  </si>
  <si>
    <t>Age</t>
  </si>
  <si>
    <t>EMP-001</t>
  </si>
  <si>
    <t>Maria Santos</t>
  </si>
  <si>
    <t>Mean Age:</t>
  </si>
  <si>
    <t>EMP-002</t>
  </si>
  <si>
    <t>Juan Dela Cruz</t>
  </si>
  <si>
    <t>Median Age:</t>
  </si>
  <si>
    <t>EMP-003</t>
  </si>
  <si>
    <t>Ana Reyes</t>
  </si>
  <si>
    <t>EMP-004</t>
  </si>
  <si>
    <t>Carlos Garcia</t>
  </si>
  <si>
    <t>Youngest (MIN):</t>
  </si>
  <si>
    <t>EMP-005</t>
  </si>
  <si>
    <t>Sofia Mendoza</t>
  </si>
  <si>
    <t>Oldest (MAX):</t>
  </si>
  <si>
    <t>EMP-006</t>
  </si>
  <si>
    <t>Miguel Torres</t>
  </si>
  <si>
    <t>Count:</t>
  </si>
  <si>
    <t>EMP-007</t>
  </si>
  <si>
    <t>Isabella Cruz</t>
  </si>
  <si>
    <t>EMP-008</t>
  </si>
  <si>
    <t>Rafael Aquino</t>
  </si>
  <si>
    <t>EMP-009</t>
  </si>
  <si>
    <t>Patricia Lim</t>
  </si>
  <si>
    <t>EMP-010</t>
  </si>
  <si>
    <t>Daniel Tan</t>
  </si>
  <si>
    <t>EMP-011</t>
  </si>
  <si>
    <t>Angela Rivera</t>
  </si>
  <si>
    <t>EMP-012</t>
  </si>
  <si>
    <t>Roberto Flores</t>
  </si>
  <si>
    <t>EMP-013</t>
  </si>
  <si>
    <t>Christine Go</t>
  </si>
  <si>
    <t>EMP-014</t>
  </si>
  <si>
    <t>Marco Villanueva</t>
  </si>
  <si>
    <t>EMP-015</t>
  </si>
  <si>
    <t>Joy Bautista</t>
  </si>
  <si>
    <t>EMP-016</t>
  </si>
  <si>
    <t>Kenneth Sy</t>
  </si>
  <si>
    <t>EMP-017</t>
  </si>
  <si>
    <t>Grace Domingo</t>
  </si>
  <si>
    <t>EMP-018</t>
  </si>
  <si>
    <t>Leo Pascual</t>
  </si>
  <si>
    <t>EMP-019</t>
  </si>
  <si>
    <t>Nicole Ramos</t>
  </si>
  <si>
    <t>EMP-020</t>
  </si>
  <si>
    <t>Patrick Ong</t>
  </si>
  <si>
    <t>EMP-021</t>
  </si>
  <si>
    <t>Carmen Lopez</t>
  </si>
  <si>
    <t>EMP-022</t>
  </si>
  <si>
    <t>Vincent Chua</t>
  </si>
  <si>
    <t>EMP-023</t>
  </si>
  <si>
    <t>Diana Navarro</t>
  </si>
  <si>
    <t>EMP-024</t>
  </si>
  <si>
    <t>Ryan Santos</t>
  </si>
  <si>
    <t>EMP-025</t>
  </si>
  <si>
    <t>Teresa Gonzales</t>
  </si>
  <si>
    <t>Dataset C — Restaurant Customer Satisfaction Ratings</t>
  </si>
  <si>
    <t>Response #</t>
  </si>
  <si>
    <t>Customer Name</t>
  </si>
  <si>
    <t>Rating (1-5)</t>
  </si>
  <si>
    <t>Customer A</t>
  </si>
  <si>
    <t>Mean Rating:</t>
  </si>
  <si>
    <t>Customer B</t>
  </si>
  <si>
    <t>Median Rating:</t>
  </si>
  <si>
    <t>Customer C</t>
  </si>
  <si>
    <t>Customer D</t>
  </si>
  <si>
    <t>Customer E</t>
  </si>
  <si>
    <t>COUNTIF Results:</t>
  </si>
  <si>
    <t>Customer F</t>
  </si>
  <si>
    <t>Rating = 1:</t>
  </si>
  <si>
    <t>Customer G</t>
  </si>
  <si>
    <t>Rating = 2:</t>
  </si>
  <si>
    <t>Customer H</t>
  </si>
  <si>
    <t>Rating = 3:</t>
  </si>
  <si>
    <t>Customer I</t>
  </si>
  <si>
    <t>Rating = 4:</t>
  </si>
  <si>
    <t>Customer J</t>
  </si>
  <si>
    <t>Rating = 5:</t>
  </si>
  <si>
    <t>Customer K</t>
  </si>
  <si>
    <t>Customer L</t>
  </si>
  <si>
    <t>Customer M</t>
  </si>
  <si>
    <t>Customer N</t>
  </si>
  <si>
    <t>Customer O</t>
  </si>
  <si>
    <t>Customer P</t>
  </si>
  <si>
    <t>Customer Q</t>
  </si>
  <si>
    <t>Customer R</t>
  </si>
  <si>
    <t>Customer S</t>
  </si>
  <si>
    <t>Customer T</t>
  </si>
  <si>
    <t>Customer U</t>
  </si>
  <si>
    <t>Customer V</t>
  </si>
  <si>
    <t>Customer W</t>
  </si>
  <si>
    <t>Customer X</t>
  </si>
  <si>
    <t>Customer Y</t>
  </si>
  <si>
    <t>Customer Z</t>
  </si>
  <si>
    <t>Customer AA</t>
  </si>
  <si>
    <t>Customer AB</t>
  </si>
  <si>
    <t>Customer AC</t>
  </si>
  <si>
    <t>Customer AD</t>
  </si>
  <si>
    <t>Customer AE</t>
  </si>
  <si>
    <t>Customer AF</t>
  </si>
  <si>
    <t>Customer AG</t>
  </si>
  <si>
    <t>Customer AH</t>
  </si>
  <si>
    <t>Customer AI</t>
  </si>
  <si>
    <t>Customer AJ</t>
  </si>
  <si>
    <t>Customer AK</t>
  </si>
  <si>
    <t>Customer AL</t>
  </si>
  <si>
    <t>Customer AM</t>
  </si>
  <si>
    <t>Customer AN</t>
  </si>
  <si>
    <t xml:space="preserve">Sales Report as of June 2025 for the Sari-Sari Store Daily Sales, highlights a total Average Sales of 2298.67; Total Sales of 68,960; Highest Sales at 3500; Lowest Sales at 1550; For these past 30 Days.
</t>
  </si>
  <si>
    <t xml:space="preserve">The provided dataset of the Company Employee Data, highlights a total Average Age of 34.56; Same Age at age 27; Oldest at 55; Youngest at 22; and a Total of 25 employees.
</t>
  </si>
  <si>
    <t xml:space="preserve">Total Average Rating at 3.93, which is close to 4, highlighting that the survey satisfaction for the specific restaurant is highly recommended by customers.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</si>
</sst>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rgb="FF1B3A5C"/>
      <name val="Calibri"/>
    </font>
    <font>
      <b/>
      <sz val="11"/>
      <color rgb="FFFFFFFF"/>
      <name val="Calibri"/>
    </font>
    <font>
      <sz val="11"/>
      <name val="Calibri"/>
    </font>
    <font>
      <b/>
      <sz val="12"/>
      <color rgb="FF2E75B6"/>
      <name val="Calibri"/>
    </font>
    <font>
      <b/>
      <sz val="11"/>
      <name val="Calibri"/>
    </font>
    <font>
      <b/>
      <sz val="16"/>
      <color rgb="FF1B3A5C"/>
      <name val="Calibri"/>
    </font>
    <font>
      <sz val="12"/>
      <color rgb="FF2E75B6"/>
      <name val="Calibri"/>
    </font>
    <font>
      <sz val="11"/>
      <name val="Calibri"/>
      <family val="2"/>
    </font>
    <font>
      <b/>
      <sz val="14"/>
      <color rgb="FF1B3A5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/>
    <xf numFmtId="0" fontId="6" fillId="0" borderId="0" xfId="0" applyFont="1"/>
    <xf numFmtId="0" fontId="1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3" fontId="3" fillId="3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9" fillId="0" borderId="0" xfId="0" applyFont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top"/>
    </xf>
    <xf numFmtId="3" fontId="8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218EB8-F60E-4E7F-BFE8-D6A3CCB5F3BA}" name="Table2" displayName="Table2" ref="A3:C33" totalsRowShown="0" headerRowDxfId="0" headerRowBorderDxfId="5" tableBorderDxfId="6" totalsRowBorderDxfId="4">
  <autoFilter ref="A3:C33" xr:uid="{48218EB8-F60E-4E7F-BFE8-D6A3CCB5F3BA}"/>
  <tableColumns count="3">
    <tableColumn id="1" xr3:uid="{AD206394-2D82-4780-956D-B09ABD0FD140}" name="Day" dataDxfId="3"/>
    <tableColumn id="2" xr3:uid="{01CD55AE-9B72-4FE0-95F6-4B26E9D2CC81}" name="Day Name" dataDxfId="2"/>
    <tableColumn id="3" xr3:uid="{74DFD924-349B-4C03-930E-E01B40D47A9C}" name="Daily Sales (₱)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sqref="A1:F1"/>
    </sheetView>
  </sheetViews>
  <sheetFormatPr defaultRowHeight="15"/>
  <cols>
    <col min="1" max="1" width="80" customWidth="1"/>
  </cols>
  <sheetData>
    <row r="1" spans="1:6" ht="21">
      <c r="A1" s="8" t="s">
        <v>0</v>
      </c>
      <c r="B1" s="7"/>
      <c r="C1" s="7"/>
      <c r="D1" s="7"/>
      <c r="E1" s="7"/>
      <c r="F1" s="7"/>
    </row>
    <row r="2" spans="1:6" ht="15.75">
      <c r="A2" s="6" t="s">
        <v>1</v>
      </c>
      <c r="B2" s="7"/>
      <c r="C2" s="7"/>
      <c r="D2" s="7"/>
      <c r="E2" s="7"/>
      <c r="F2" s="7"/>
    </row>
    <row r="4" spans="1:6">
      <c r="A4" s="1"/>
    </row>
    <row r="5" spans="1:6">
      <c r="A5" s="2" t="s">
        <v>2</v>
      </c>
    </row>
    <row r="6" spans="1:6">
      <c r="A6" s="1"/>
    </row>
    <row r="7" spans="1:6">
      <c r="A7" s="1" t="s">
        <v>3</v>
      </c>
    </row>
    <row r="8" spans="1:6">
      <c r="A8" s="1" t="s">
        <v>4</v>
      </c>
    </row>
    <row r="9" spans="1:6">
      <c r="A9" s="1"/>
    </row>
    <row r="10" spans="1:6">
      <c r="A10" s="1" t="s">
        <v>5</v>
      </c>
    </row>
    <row r="11" spans="1:6">
      <c r="A11" s="1" t="s">
        <v>6</v>
      </c>
    </row>
    <row r="12" spans="1:6">
      <c r="A12" s="1" t="s">
        <v>7</v>
      </c>
    </row>
    <row r="13" spans="1:6">
      <c r="A13" s="1" t="s">
        <v>8</v>
      </c>
    </row>
    <row r="14" spans="1:6">
      <c r="A14" s="1"/>
    </row>
    <row r="15" spans="1:6">
      <c r="A15" s="2" t="s">
        <v>9</v>
      </c>
    </row>
    <row r="16" spans="1:6">
      <c r="A16" s="1" t="s">
        <v>10</v>
      </c>
    </row>
    <row r="17" spans="1:1">
      <c r="A17" s="1" t="s">
        <v>11</v>
      </c>
    </row>
    <row r="18" spans="1:1">
      <c r="A18" s="1" t="s">
        <v>12</v>
      </c>
    </row>
    <row r="19" spans="1:1">
      <c r="A19" s="1"/>
    </row>
    <row r="20" spans="1:1">
      <c r="A20" s="2" t="s">
        <v>13</v>
      </c>
    </row>
    <row r="21" spans="1:1">
      <c r="A21" s="1" t="s">
        <v>14</v>
      </c>
    </row>
    <row r="22" spans="1:1">
      <c r="A22" s="1" t="s">
        <v>15</v>
      </c>
    </row>
    <row r="23" spans="1:1">
      <c r="A23" s="1" t="s">
        <v>16</v>
      </c>
    </row>
    <row r="24" spans="1:1">
      <c r="A24" s="1" t="s">
        <v>17</v>
      </c>
    </row>
    <row r="25" spans="1:1">
      <c r="A25" s="1"/>
    </row>
    <row r="26" spans="1:1">
      <c r="A26" s="2" t="s">
        <v>18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A4" zoomScale="92" zoomScaleNormal="69" workbookViewId="0">
      <selection activeCell="F12" sqref="F12"/>
    </sheetView>
  </sheetViews>
  <sheetFormatPr defaultRowHeight="15"/>
  <cols>
    <col min="1" max="1" width="8.85546875" bestFit="1" customWidth="1"/>
    <col min="2" max="2" width="14.5703125" bestFit="1" customWidth="1"/>
    <col min="3" max="3" width="18.28515625" bestFit="1" customWidth="1"/>
    <col min="5" max="5" width="30" customWidth="1"/>
    <col min="6" max="6" width="18" style="21" customWidth="1"/>
  </cols>
  <sheetData>
    <row r="1" spans="1:8" ht="18.75">
      <c r="A1" s="25" t="s">
        <v>19</v>
      </c>
      <c r="B1" s="7"/>
      <c r="C1" s="7"/>
    </row>
    <row r="3" spans="1:8" ht="15.75">
      <c r="A3" s="11" t="s">
        <v>20</v>
      </c>
      <c r="B3" s="12" t="s">
        <v>21</v>
      </c>
      <c r="C3" s="13" t="s">
        <v>22</v>
      </c>
      <c r="E3" s="10" t="s">
        <v>23</v>
      </c>
      <c r="F3" s="7"/>
      <c r="G3" s="7"/>
      <c r="H3" s="7"/>
    </row>
    <row r="4" spans="1:8">
      <c r="A4" s="14">
        <v>1</v>
      </c>
      <c r="B4" s="4" t="s">
        <v>24</v>
      </c>
      <c r="C4" s="16">
        <v>3250</v>
      </c>
      <c r="E4" s="2" t="s">
        <v>25</v>
      </c>
      <c r="F4" s="21" t="str">
        <f>TEXT(AVERAGE(Table2[Daily Sales (₱)]),"0.00")</f>
        <v>2298.67</v>
      </c>
    </row>
    <row r="5" spans="1:8">
      <c r="A5" s="15">
        <v>2</v>
      </c>
      <c r="B5" s="5" t="s">
        <v>26</v>
      </c>
      <c r="C5" s="17">
        <v>1850</v>
      </c>
      <c r="E5" s="2" t="s">
        <v>27</v>
      </c>
      <c r="F5" s="21">
        <f>MEDIAN(Table2[Daily Sales (₱)])</f>
        <v>1895</v>
      </c>
    </row>
    <row r="6" spans="1:8">
      <c r="A6" s="14">
        <v>3</v>
      </c>
      <c r="B6" s="4" t="s">
        <v>28</v>
      </c>
      <c r="C6" s="16">
        <v>1720</v>
      </c>
      <c r="E6" s="2" t="s">
        <v>29</v>
      </c>
      <c r="F6" s="21">
        <f>_xlfn.MODE.SNGL(Table2[Daily Sales (₱)]:C35)</f>
        <v>1680</v>
      </c>
    </row>
    <row r="7" spans="1:8">
      <c r="A7" s="15">
        <v>4</v>
      </c>
      <c r="B7" s="5" t="s">
        <v>30</v>
      </c>
      <c r="C7" s="17">
        <v>1680</v>
      </c>
      <c r="E7" s="2" t="s">
        <v>31</v>
      </c>
      <c r="F7" s="22">
        <f>SUM(Table2[Daily Sales (₱)])</f>
        <v>68960</v>
      </c>
    </row>
    <row r="8" spans="1:8">
      <c r="A8" s="14">
        <v>5</v>
      </c>
      <c r="B8" s="4" t="s">
        <v>32</v>
      </c>
      <c r="C8" s="16">
        <v>1900</v>
      </c>
      <c r="E8" s="2" t="s">
        <v>33</v>
      </c>
      <c r="F8" s="21">
        <f>COUNTA(Table2[Day Name])</f>
        <v>30</v>
      </c>
    </row>
    <row r="9" spans="1:8">
      <c r="A9" s="15">
        <v>6</v>
      </c>
      <c r="B9" s="5" t="s">
        <v>34</v>
      </c>
      <c r="C9" s="17">
        <v>2450</v>
      </c>
      <c r="E9" s="2" t="s">
        <v>35</v>
      </c>
      <c r="F9" s="21">
        <f>MAX(Table2[Daily Sales (₱)])</f>
        <v>3500</v>
      </c>
    </row>
    <row r="10" spans="1:8">
      <c r="A10" s="14">
        <v>7</v>
      </c>
      <c r="B10" s="4" t="s">
        <v>36</v>
      </c>
      <c r="C10" s="16">
        <v>3100</v>
      </c>
      <c r="E10" s="2" t="s">
        <v>37</v>
      </c>
      <c r="F10" s="21">
        <f>MIN(Table2[Daily Sales (₱)])</f>
        <v>1550</v>
      </c>
    </row>
    <row r="11" spans="1:8">
      <c r="A11" s="15">
        <v>8</v>
      </c>
      <c r="B11" s="5" t="s">
        <v>24</v>
      </c>
      <c r="C11" s="17">
        <v>3400</v>
      </c>
    </row>
    <row r="12" spans="1:8" ht="195">
      <c r="A12" s="14">
        <v>9</v>
      </c>
      <c r="B12" s="4" t="s">
        <v>26</v>
      </c>
      <c r="C12" s="16">
        <v>1780</v>
      </c>
      <c r="E12" s="27" t="s">
        <v>38</v>
      </c>
      <c r="F12" s="26" t="s">
        <v>150</v>
      </c>
    </row>
    <row r="13" spans="1:8">
      <c r="A13" s="15">
        <v>10</v>
      </c>
      <c r="B13" s="5" t="s">
        <v>28</v>
      </c>
      <c r="C13" s="17">
        <v>1650</v>
      </c>
    </row>
    <row r="14" spans="1:8">
      <c r="A14" s="14">
        <v>11</v>
      </c>
      <c r="B14" s="4" t="s">
        <v>30</v>
      </c>
      <c r="C14" s="16">
        <v>1590</v>
      </c>
    </row>
    <row r="15" spans="1:8">
      <c r="A15" s="15">
        <v>12</v>
      </c>
      <c r="B15" s="5" t="s">
        <v>32</v>
      </c>
      <c r="C15" s="17">
        <v>1870</v>
      </c>
    </row>
    <row r="16" spans="1:8">
      <c r="A16" s="14">
        <v>13</v>
      </c>
      <c r="B16" s="4" t="s">
        <v>34</v>
      </c>
      <c r="C16" s="16">
        <v>2380</v>
      </c>
    </row>
    <row r="17" spans="1:3">
      <c r="A17" s="15">
        <v>14</v>
      </c>
      <c r="B17" s="5" t="s">
        <v>36</v>
      </c>
      <c r="C17" s="17">
        <v>3050</v>
      </c>
    </row>
    <row r="18" spans="1:3">
      <c r="A18" s="14">
        <v>15</v>
      </c>
      <c r="B18" s="4" t="s">
        <v>24</v>
      </c>
      <c r="C18" s="16">
        <v>3500</v>
      </c>
    </row>
    <row r="19" spans="1:3">
      <c r="A19" s="15">
        <v>16</v>
      </c>
      <c r="B19" s="5" t="s">
        <v>26</v>
      </c>
      <c r="C19" s="17">
        <v>1920</v>
      </c>
    </row>
    <row r="20" spans="1:3">
      <c r="A20" s="14">
        <v>17</v>
      </c>
      <c r="B20" s="4" t="s">
        <v>28</v>
      </c>
      <c r="C20" s="16">
        <v>1700</v>
      </c>
    </row>
    <row r="21" spans="1:3">
      <c r="A21" s="15">
        <v>18</v>
      </c>
      <c r="B21" s="5" t="s">
        <v>30</v>
      </c>
      <c r="C21" s="17">
        <v>1600</v>
      </c>
    </row>
    <row r="22" spans="1:3">
      <c r="A22" s="14">
        <v>19</v>
      </c>
      <c r="B22" s="4" t="s">
        <v>32</v>
      </c>
      <c r="C22" s="16">
        <v>1830</v>
      </c>
    </row>
    <row r="23" spans="1:3">
      <c r="A23" s="15">
        <v>20</v>
      </c>
      <c r="B23" s="5" t="s">
        <v>34</v>
      </c>
      <c r="C23" s="17">
        <v>2500</v>
      </c>
    </row>
    <row r="24" spans="1:3">
      <c r="A24" s="14">
        <v>21</v>
      </c>
      <c r="B24" s="4" t="s">
        <v>36</v>
      </c>
      <c r="C24" s="16">
        <v>3200</v>
      </c>
    </row>
    <row r="25" spans="1:3">
      <c r="A25" s="15">
        <v>22</v>
      </c>
      <c r="B25" s="5" t="s">
        <v>24</v>
      </c>
      <c r="C25" s="17">
        <v>3350</v>
      </c>
    </row>
    <row r="26" spans="1:3">
      <c r="A26" s="14">
        <v>23</v>
      </c>
      <c r="B26" s="4" t="s">
        <v>26</v>
      </c>
      <c r="C26" s="16">
        <v>1800</v>
      </c>
    </row>
    <row r="27" spans="1:3">
      <c r="A27" s="15">
        <v>24</v>
      </c>
      <c r="B27" s="5" t="s">
        <v>28</v>
      </c>
      <c r="C27" s="17">
        <v>1670</v>
      </c>
    </row>
    <row r="28" spans="1:3">
      <c r="A28" s="14">
        <v>25</v>
      </c>
      <c r="B28" s="4" t="s">
        <v>30</v>
      </c>
      <c r="C28" s="16">
        <v>1550</v>
      </c>
    </row>
    <row r="29" spans="1:3">
      <c r="A29" s="15">
        <v>26</v>
      </c>
      <c r="B29" s="5" t="s">
        <v>32</v>
      </c>
      <c r="C29" s="17">
        <v>1890</v>
      </c>
    </row>
    <row r="30" spans="1:3">
      <c r="A30" s="14">
        <v>27</v>
      </c>
      <c r="B30" s="4" t="s">
        <v>34</v>
      </c>
      <c r="C30" s="16">
        <v>2420</v>
      </c>
    </row>
    <row r="31" spans="1:3">
      <c r="A31" s="15">
        <v>28</v>
      </c>
      <c r="B31" s="5" t="s">
        <v>36</v>
      </c>
      <c r="C31" s="17">
        <v>3150</v>
      </c>
    </row>
    <row r="32" spans="1:3">
      <c r="A32" s="14">
        <v>29</v>
      </c>
      <c r="B32" s="4" t="s">
        <v>24</v>
      </c>
      <c r="C32" s="16">
        <v>3450</v>
      </c>
    </row>
    <row r="33" spans="1:3">
      <c r="A33" s="18">
        <v>30</v>
      </c>
      <c r="B33" s="19" t="s">
        <v>26</v>
      </c>
      <c r="C33" s="20">
        <v>1760</v>
      </c>
    </row>
    <row r="35" spans="1:3">
      <c r="C35" s="28">
        <v>1680</v>
      </c>
    </row>
  </sheetData>
  <mergeCells count="2">
    <mergeCell ref="A1:C1"/>
    <mergeCell ref="E3:H3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topLeftCell="A3" workbookViewId="0">
      <selection activeCell="F11" sqref="F11"/>
    </sheetView>
  </sheetViews>
  <sheetFormatPr defaultRowHeight="15"/>
  <cols>
    <col min="1" max="1" width="14" customWidth="1"/>
    <col min="2" max="2" width="22" customWidth="1"/>
    <col min="3" max="3" width="8" customWidth="1"/>
    <col min="5" max="5" width="28.7109375" bestFit="1" customWidth="1"/>
    <col min="6" max="6" width="18" style="24" customWidth="1"/>
  </cols>
  <sheetData>
    <row r="1" spans="1:8" ht="18.75">
      <c r="A1" s="9" t="s">
        <v>39</v>
      </c>
      <c r="B1" s="7"/>
      <c r="C1" s="7"/>
    </row>
    <row r="3" spans="1:8" ht="15.75">
      <c r="A3" s="3" t="s">
        <v>40</v>
      </c>
      <c r="B3" s="3" t="s">
        <v>41</v>
      </c>
      <c r="C3" s="3" t="s">
        <v>42</v>
      </c>
      <c r="E3" s="10" t="s">
        <v>23</v>
      </c>
      <c r="F3" s="7"/>
      <c r="G3" s="7"/>
      <c r="H3" s="7"/>
    </row>
    <row r="4" spans="1:8">
      <c r="A4" s="4" t="s">
        <v>43</v>
      </c>
      <c r="B4" s="4" t="s">
        <v>44</v>
      </c>
      <c r="C4" s="4">
        <v>28</v>
      </c>
      <c r="E4" s="2" t="s">
        <v>45</v>
      </c>
      <c r="F4" s="24" t="str">
        <f>TEXT(AVERAGE(C4:C28), "0.00")</f>
        <v>34.56</v>
      </c>
    </row>
    <row r="5" spans="1:8">
      <c r="A5" s="5" t="s">
        <v>46</v>
      </c>
      <c r="B5" s="5" t="s">
        <v>47</v>
      </c>
      <c r="C5" s="5">
        <v>35</v>
      </c>
      <c r="E5" s="2" t="s">
        <v>48</v>
      </c>
      <c r="F5" s="24">
        <f>MEDIAN(C4:C28)</f>
        <v>33</v>
      </c>
    </row>
    <row r="6" spans="1:8">
      <c r="A6" s="4" t="s">
        <v>49</v>
      </c>
      <c r="B6" s="4" t="s">
        <v>50</v>
      </c>
      <c r="C6" s="4">
        <v>24</v>
      </c>
      <c r="E6" s="2" t="s">
        <v>29</v>
      </c>
      <c r="F6" s="24">
        <f>_xlfn.MODE.SNGL(C4:C28)</f>
        <v>27</v>
      </c>
    </row>
    <row r="7" spans="1:8">
      <c r="A7" s="5" t="s">
        <v>51</v>
      </c>
      <c r="B7" s="5" t="s">
        <v>52</v>
      </c>
      <c r="C7" s="5">
        <v>42</v>
      </c>
      <c r="E7" s="2" t="s">
        <v>53</v>
      </c>
      <c r="F7" s="24">
        <f>MIN(C4:C28)</f>
        <v>22</v>
      </c>
    </row>
    <row r="8" spans="1:8">
      <c r="A8" s="4" t="s">
        <v>54</v>
      </c>
      <c r="B8" s="4" t="s">
        <v>55</v>
      </c>
      <c r="C8" s="4">
        <v>31</v>
      </c>
      <c r="E8" s="2" t="s">
        <v>56</v>
      </c>
      <c r="F8" s="24">
        <f>MAX(C4:C28)</f>
        <v>55</v>
      </c>
    </row>
    <row r="9" spans="1:8">
      <c r="A9" s="5" t="s">
        <v>57</v>
      </c>
      <c r="B9" s="5" t="s">
        <v>58</v>
      </c>
      <c r="C9" s="5">
        <v>29</v>
      </c>
      <c r="E9" s="2" t="s">
        <v>59</v>
      </c>
      <c r="F9" s="24">
        <f>COUNT(C4:C28)</f>
        <v>25</v>
      </c>
    </row>
    <row r="10" spans="1:8">
      <c r="A10" s="4" t="s">
        <v>60</v>
      </c>
      <c r="B10" s="4" t="s">
        <v>61</v>
      </c>
      <c r="C10" s="4">
        <v>38</v>
      </c>
    </row>
    <row r="11" spans="1:8" ht="180">
      <c r="A11" s="5" t="s">
        <v>62</v>
      </c>
      <c r="B11" s="5" t="s">
        <v>63</v>
      </c>
      <c r="C11" s="5">
        <v>26</v>
      </c>
      <c r="E11" s="27" t="s">
        <v>38</v>
      </c>
      <c r="F11" s="26" t="s">
        <v>151</v>
      </c>
    </row>
    <row r="12" spans="1:8">
      <c r="A12" s="4" t="s">
        <v>64</v>
      </c>
      <c r="B12" s="4" t="s">
        <v>65</v>
      </c>
      <c r="C12" s="4">
        <v>45</v>
      </c>
    </row>
    <row r="13" spans="1:8">
      <c r="A13" s="5" t="s">
        <v>66</v>
      </c>
      <c r="B13" s="5" t="s">
        <v>67</v>
      </c>
      <c r="C13" s="5">
        <v>33</v>
      </c>
    </row>
    <row r="14" spans="1:8">
      <c r="A14" s="4" t="s">
        <v>68</v>
      </c>
      <c r="B14" s="4" t="s">
        <v>69</v>
      </c>
      <c r="C14" s="4">
        <v>22</v>
      </c>
    </row>
    <row r="15" spans="1:8">
      <c r="A15" s="5" t="s">
        <v>70</v>
      </c>
      <c r="B15" s="5" t="s">
        <v>71</v>
      </c>
      <c r="C15" s="5">
        <v>50</v>
      </c>
    </row>
    <row r="16" spans="1:8">
      <c r="A16" s="4" t="s">
        <v>72</v>
      </c>
      <c r="B16" s="4" t="s">
        <v>73</v>
      </c>
      <c r="C16" s="4">
        <v>27</v>
      </c>
    </row>
    <row r="17" spans="1:3">
      <c r="A17" s="5" t="s">
        <v>74</v>
      </c>
      <c r="B17" s="5" t="s">
        <v>75</v>
      </c>
      <c r="C17" s="5">
        <v>36</v>
      </c>
    </row>
    <row r="18" spans="1:3">
      <c r="A18" s="4" t="s">
        <v>76</v>
      </c>
      <c r="B18" s="4" t="s">
        <v>77</v>
      </c>
      <c r="C18" s="4">
        <v>41</v>
      </c>
    </row>
    <row r="19" spans="1:3">
      <c r="A19" s="5" t="s">
        <v>78</v>
      </c>
      <c r="B19" s="5" t="s">
        <v>79</v>
      </c>
      <c r="C19" s="5">
        <v>30</v>
      </c>
    </row>
    <row r="20" spans="1:3">
      <c r="A20" s="4" t="s">
        <v>80</v>
      </c>
      <c r="B20" s="4" t="s">
        <v>81</v>
      </c>
      <c r="C20" s="4">
        <v>25</v>
      </c>
    </row>
    <row r="21" spans="1:3">
      <c r="A21" s="5" t="s">
        <v>82</v>
      </c>
      <c r="B21" s="5" t="s">
        <v>83</v>
      </c>
      <c r="C21" s="5">
        <v>48</v>
      </c>
    </row>
    <row r="22" spans="1:3">
      <c r="A22" s="4" t="s">
        <v>84</v>
      </c>
      <c r="B22" s="4" t="s">
        <v>85</v>
      </c>
      <c r="C22" s="4">
        <v>34</v>
      </c>
    </row>
    <row r="23" spans="1:3">
      <c r="A23" s="5" t="s">
        <v>86</v>
      </c>
      <c r="B23" s="5" t="s">
        <v>87</v>
      </c>
      <c r="C23" s="5">
        <v>39</v>
      </c>
    </row>
    <row r="24" spans="1:3">
      <c r="A24" s="4" t="s">
        <v>88</v>
      </c>
      <c r="B24" s="4" t="s">
        <v>89</v>
      </c>
      <c r="C24" s="4">
        <v>23</v>
      </c>
    </row>
    <row r="25" spans="1:3">
      <c r="A25" s="5" t="s">
        <v>90</v>
      </c>
      <c r="B25" s="5" t="s">
        <v>91</v>
      </c>
      <c r="C25" s="5">
        <v>55</v>
      </c>
    </row>
    <row r="26" spans="1:3">
      <c r="A26" s="4" t="s">
        <v>92</v>
      </c>
      <c r="B26" s="4" t="s">
        <v>93</v>
      </c>
      <c r="C26" s="4">
        <v>32</v>
      </c>
    </row>
    <row r="27" spans="1:3">
      <c r="A27" s="5" t="s">
        <v>94</v>
      </c>
      <c r="B27" s="5" t="s">
        <v>95</v>
      </c>
      <c r="C27" s="5">
        <v>27</v>
      </c>
    </row>
    <row r="28" spans="1:3">
      <c r="A28" s="4" t="s">
        <v>96</v>
      </c>
      <c r="B28" s="4" t="s">
        <v>97</v>
      </c>
      <c r="C28" s="4">
        <v>44</v>
      </c>
    </row>
  </sheetData>
  <mergeCells count="2">
    <mergeCell ref="A1:C1"/>
    <mergeCell ref="E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tabSelected="1" topLeftCell="A7" workbookViewId="0">
      <selection activeCell="F15" sqref="F15"/>
    </sheetView>
  </sheetViews>
  <sheetFormatPr defaultRowHeight="15"/>
  <cols>
    <col min="1" max="1" width="14" customWidth="1"/>
    <col min="2" max="2" width="16" customWidth="1"/>
    <col min="3" max="3" width="14" customWidth="1"/>
    <col min="5" max="5" width="30" customWidth="1"/>
    <col min="6" max="6" width="21.28515625" style="23" customWidth="1"/>
  </cols>
  <sheetData>
    <row r="1" spans="1:8" ht="18.75">
      <c r="A1" s="9" t="s">
        <v>98</v>
      </c>
      <c r="B1" s="7"/>
      <c r="C1" s="7"/>
    </row>
    <row r="3" spans="1:8" ht="15.75">
      <c r="A3" s="3" t="s">
        <v>99</v>
      </c>
      <c r="B3" s="3" t="s">
        <v>100</v>
      </c>
      <c r="C3" s="3" t="s">
        <v>101</v>
      </c>
      <c r="E3" s="10" t="s">
        <v>23</v>
      </c>
      <c r="F3" s="7"/>
      <c r="G3" s="7"/>
      <c r="H3" s="7"/>
    </row>
    <row r="4" spans="1:8">
      <c r="A4" s="4">
        <v>1</v>
      </c>
      <c r="B4" s="4" t="s">
        <v>102</v>
      </c>
      <c r="C4" s="4">
        <v>4</v>
      </c>
      <c r="E4" s="2" t="s">
        <v>103</v>
      </c>
      <c r="F4" s="23" t="str">
        <f>TEXT(AVERAGE(C4:C43),"0.00")</f>
        <v>3.93</v>
      </c>
    </row>
    <row r="5" spans="1:8">
      <c r="A5" s="5">
        <v>2</v>
      </c>
      <c r="B5" s="5" t="s">
        <v>104</v>
      </c>
      <c r="C5" s="5">
        <v>5</v>
      </c>
      <c r="E5" s="2" t="s">
        <v>105</v>
      </c>
      <c r="F5" s="23">
        <f>MEDIAN(C4:C43)</f>
        <v>4</v>
      </c>
    </row>
    <row r="6" spans="1:8">
      <c r="A6" s="4">
        <v>3</v>
      </c>
      <c r="B6" s="4" t="s">
        <v>106</v>
      </c>
      <c r="C6" s="4">
        <v>3</v>
      </c>
      <c r="E6" s="2" t="s">
        <v>29</v>
      </c>
      <c r="F6" s="23">
        <f>_xlfn.MODE.SNGL(C4:C43)</f>
        <v>4</v>
      </c>
    </row>
    <row r="7" spans="1:8">
      <c r="A7" s="5">
        <v>4</v>
      </c>
      <c r="B7" s="5" t="s">
        <v>107</v>
      </c>
      <c r="C7" s="5">
        <v>4</v>
      </c>
    </row>
    <row r="8" spans="1:8">
      <c r="A8" s="4">
        <v>5</v>
      </c>
      <c r="B8" s="4" t="s">
        <v>108</v>
      </c>
      <c r="C8" s="4">
        <v>5</v>
      </c>
      <c r="E8" s="2" t="s">
        <v>109</v>
      </c>
      <c r="F8" s="23">
        <f>SUM(F9:F13)</f>
        <v>40</v>
      </c>
    </row>
    <row r="9" spans="1:8">
      <c r="A9" s="5">
        <v>6</v>
      </c>
      <c r="B9" s="5" t="s">
        <v>110</v>
      </c>
      <c r="C9" s="5">
        <v>4</v>
      </c>
      <c r="E9" s="2" t="s">
        <v>111</v>
      </c>
      <c r="F9" s="23">
        <f>COUNTIF(C4:C43, 1)</f>
        <v>1</v>
      </c>
    </row>
    <row r="10" spans="1:8">
      <c r="A10" s="4">
        <v>7</v>
      </c>
      <c r="B10" s="4" t="s">
        <v>112</v>
      </c>
      <c r="C10" s="4">
        <v>2</v>
      </c>
      <c r="E10" s="2" t="s">
        <v>113</v>
      </c>
      <c r="F10" s="23">
        <f>COUNTIF(C4:C43, 2)</f>
        <v>3</v>
      </c>
    </row>
    <row r="11" spans="1:8">
      <c r="A11" s="5">
        <v>8</v>
      </c>
      <c r="B11" s="5" t="s">
        <v>114</v>
      </c>
      <c r="C11" s="5">
        <v>5</v>
      </c>
      <c r="E11" s="2" t="s">
        <v>115</v>
      </c>
      <c r="F11" s="23">
        <f>COUNTIF(C4:C43, 3)</f>
        <v>7</v>
      </c>
    </row>
    <row r="12" spans="1:8">
      <c r="A12" s="4">
        <v>9</v>
      </c>
      <c r="B12" s="4" t="s">
        <v>116</v>
      </c>
      <c r="C12" s="4">
        <v>4</v>
      </c>
      <c r="E12" s="2" t="s">
        <v>117</v>
      </c>
      <c r="F12" s="23">
        <f>COUNTIF(C4:C43, 4)</f>
        <v>16</v>
      </c>
    </row>
    <row r="13" spans="1:8">
      <c r="A13" s="5">
        <v>10</v>
      </c>
      <c r="B13" s="5" t="s">
        <v>118</v>
      </c>
      <c r="C13" s="5">
        <v>3</v>
      </c>
      <c r="E13" s="2" t="s">
        <v>119</v>
      </c>
      <c r="F13" s="23">
        <f>COUNTIF(C4:C43, 5)</f>
        <v>13</v>
      </c>
    </row>
    <row r="14" spans="1:8">
      <c r="A14" s="4">
        <v>11</v>
      </c>
      <c r="B14" s="4" t="s">
        <v>120</v>
      </c>
      <c r="C14" s="4">
        <v>5</v>
      </c>
    </row>
    <row r="15" spans="1:8" ht="135">
      <c r="A15" s="5">
        <v>12</v>
      </c>
      <c r="B15" s="5" t="s">
        <v>121</v>
      </c>
      <c r="C15" s="5">
        <v>4</v>
      </c>
      <c r="E15" s="27" t="s">
        <v>38</v>
      </c>
      <c r="F15" s="26" t="s">
        <v>152</v>
      </c>
    </row>
    <row r="16" spans="1:8">
      <c r="A16" s="4">
        <v>13</v>
      </c>
      <c r="B16" s="4" t="s">
        <v>122</v>
      </c>
      <c r="C16" s="4">
        <v>4</v>
      </c>
    </row>
    <row r="17" spans="1:3">
      <c r="A17" s="5">
        <v>14</v>
      </c>
      <c r="B17" s="5" t="s">
        <v>123</v>
      </c>
      <c r="C17" s="5">
        <v>5</v>
      </c>
    </row>
    <row r="18" spans="1:3">
      <c r="A18" s="4">
        <v>15</v>
      </c>
      <c r="B18" s="4" t="s">
        <v>124</v>
      </c>
      <c r="C18" s="4">
        <v>3</v>
      </c>
    </row>
    <row r="19" spans="1:3">
      <c r="A19" s="5">
        <v>16</v>
      </c>
      <c r="B19" s="5" t="s">
        <v>125</v>
      </c>
      <c r="C19" s="5">
        <v>4</v>
      </c>
    </row>
    <row r="20" spans="1:3">
      <c r="A20" s="4">
        <v>17</v>
      </c>
      <c r="B20" s="4" t="s">
        <v>126</v>
      </c>
      <c r="C20" s="4">
        <v>5</v>
      </c>
    </row>
    <row r="21" spans="1:3">
      <c r="A21" s="5">
        <v>18</v>
      </c>
      <c r="B21" s="5" t="s">
        <v>127</v>
      </c>
      <c r="C21" s="5">
        <v>4</v>
      </c>
    </row>
    <row r="22" spans="1:3">
      <c r="A22" s="4">
        <v>19</v>
      </c>
      <c r="B22" s="4" t="s">
        <v>128</v>
      </c>
      <c r="C22" s="4">
        <v>1</v>
      </c>
    </row>
    <row r="23" spans="1:3">
      <c r="A23" s="5">
        <v>20</v>
      </c>
      <c r="B23" s="5" t="s">
        <v>129</v>
      </c>
      <c r="C23" s="5">
        <v>5</v>
      </c>
    </row>
    <row r="24" spans="1:3">
      <c r="A24" s="4">
        <v>21</v>
      </c>
      <c r="B24" s="4" t="s">
        <v>130</v>
      </c>
      <c r="C24" s="4">
        <v>4</v>
      </c>
    </row>
    <row r="25" spans="1:3">
      <c r="A25" s="5">
        <v>22</v>
      </c>
      <c r="B25" s="5" t="s">
        <v>131</v>
      </c>
      <c r="C25" s="5">
        <v>3</v>
      </c>
    </row>
    <row r="26" spans="1:3">
      <c r="A26" s="4">
        <v>23</v>
      </c>
      <c r="B26" s="4" t="s">
        <v>132</v>
      </c>
      <c r="C26" s="4">
        <v>5</v>
      </c>
    </row>
    <row r="27" spans="1:3">
      <c r="A27" s="5">
        <v>24</v>
      </c>
      <c r="B27" s="5" t="s">
        <v>133</v>
      </c>
      <c r="C27" s="5">
        <v>4</v>
      </c>
    </row>
    <row r="28" spans="1:3">
      <c r="A28" s="4">
        <v>25</v>
      </c>
      <c r="B28" s="4" t="s">
        <v>134</v>
      </c>
      <c r="C28" s="4">
        <v>2</v>
      </c>
    </row>
    <row r="29" spans="1:3">
      <c r="A29" s="5">
        <v>26</v>
      </c>
      <c r="B29" s="5" t="s">
        <v>135</v>
      </c>
      <c r="C29" s="5">
        <v>5</v>
      </c>
    </row>
    <row r="30" spans="1:3">
      <c r="A30" s="4">
        <v>27</v>
      </c>
      <c r="B30" s="4" t="s">
        <v>136</v>
      </c>
      <c r="C30" s="4">
        <v>4</v>
      </c>
    </row>
    <row r="31" spans="1:3">
      <c r="A31" s="5">
        <v>28</v>
      </c>
      <c r="B31" s="5" t="s">
        <v>137</v>
      </c>
      <c r="C31" s="5">
        <v>5</v>
      </c>
    </row>
    <row r="32" spans="1:3">
      <c r="A32" s="4">
        <v>29</v>
      </c>
      <c r="B32" s="4" t="s">
        <v>138</v>
      </c>
      <c r="C32" s="4">
        <v>3</v>
      </c>
    </row>
    <row r="33" spans="1:3">
      <c r="A33" s="5">
        <v>30</v>
      </c>
      <c r="B33" s="5" t="s">
        <v>139</v>
      </c>
      <c r="C33" s="5">
        <v>4</v>
      </c>
    </row>
    <row r="34" spans="1:3">
      <c r="A34" s="4">
        <v>31</v>
      </c>
      <c r="B34" s="4" t="s">
        <v>140</v>
      </c>
      <c r="C34" s="4">
        <v>4</v>
      </c>
    </row>
    <row r="35" spans="1:3">
      <c r="A35" s="5">
        <v>32</v>
      </c>
      <c r="B35" s="5" t="s">
        <v>141</v>
      </c>
      <c r="C35" s="5">
        <v>5</v>
      </c>
    </row>
    <row r="36" spans="1:3">
      <c r="A36" s="4">
        <v>33</v>
      </c>
      <c r="B36" s="4" t="s">
        <v>142</v>
      </c>
      <c r="C36" s="4">
        <v>2</v>
      </c>
    </row>
    <row r="37" spans="1:3">
      <c r="A37" s="5">
        <v>34</v>
      </c>
      <c r="B37" s="5" t="s">
        <v>143</v>
      </c>
      <c r="C37" s="5">
        <v>4</v>
      </c>
    </row>
    <row r="38" spans="1:3">
      <c r="A38" s="4">
        <v>35</v>
      </c>
      <c r="B38" s="4" t="s">
        <v>144</v>
      </c>
      <c r="C38" s="4">
        <v>5</v>
      </c>
    </row>
    <row r="39" spans="1:3">
      <c r="A39" s="5">
        <v>36</v>
      </c>
      <c r="B39" s="5" t="s">
        <v>145</v>
      </c>
      <c r="C39" s="5">
        <v>3</v>
      </c>
    </row>
    <row r="40" spans="1:3">
      <c r="A40" s="4">
        <v>37</v>
      </c>
      <c r="B40" s="4" t="s">
        <v>146</v>
      </c>
      <c r="C40" s="4">
        <v>4</v>
      </c>
    </row>
    <row r="41" spans="1:3">
      <c r="A41" s="5">
        <v>38</v>
      </c>
      <c r="B41" s="5" t="s">
        <v>147</v>
      </c>
      <c r="C41" s="5">
        <v>5</v>
      </c>
    </row>
    <row r="42" spans="1:3">
      <c r="A42" s="4">
        <v>39</v>
      </c>
      <c r="B42" s="4" t="s">
        <v>148</v>
      </c>
      <c r="C42" s="4">
        <v>4</v>
      </c>
    </row>
    <row r="43" spans="1:3">
      <c r="A43" s="5">
        <v>40</v>
      </c>
      <c r="B43" s="5" t="s">
        <v>149</v>
      </c>
      <c r="C43" s="5">
        <v>3</v>
      </c>
    </row>
  </sheetData>
  <mergeCells count="2">
    <mergeCell ref="A1:C1"/>
    <mergeCell ref="E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 A - Store Sales</vt:lpstr>
      <vt:lpstr>Dataset B - Employee Ages</vt:lpstr>
      <vt:lpstr>Dataset C - Customer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Cryz Bernard Gonzales</cp:lastModifiedBy>
  <dcterms:created xsi:type="dcterms:W3CDTF">2026-06-30T05:43:01Z</dcterms:created>
  <dcterms:modified xsi:type="dcterms:W3CDTF">2026-06-30T11:56:59Z</dcterms:modified>
</cp:coreProperties>
</file>