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96f5c588f37a5dc/Desktop/MJ/TESDA/DAY_02/"/>
    </mc:Choice>
  </mc:AlternateContent>
  <xr:revisionPtr revIDLastSave="66" documentId="13_ncr:1_{FBFCA139-48A8-4BE2-A2EF-FBEC8430D1E1}" xr6:coauthVersionLast="47" xr6:coauthVersionMax="47" xr10:uidLastSave="{1D16B5C2-88C4-42A2-96A9-128216191C66}"/>
  <bookViews>
    <workbookView xWindow="-105" yWindow="0" windowWidth="14610" windowHeight="15585" activeTab="1" xr2:uid="{9F0A8D4D-891B-4EB3-B8AC-C5A108C4103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 r="E2" i="2"/>
  <c r="E4" i="2"/>
  <c r="I5" i="1"/>
  <c r="I4" i="1"/>
  <c r="H4" i="1"/>
  <c r="H2" i="1"/>
  <c r="E4" i="1"/>
  <c r="E8" i="1"/>
  <c r="E7" i="1"/>
  <c r="E6" i="1"/>
  <c r="E5" i="1"/>
  <c r="E3" i="1"/>
  <c r="E2" i="1"/>
</calcChain>
</file>

<file path=xl/sharedStrings.xml><?xml version="1.0" encoding="utf-8"?>
<sst xmlns="http://schemas.openxmlformats.org/spreadsheetml/2006/main" count="40" uniqueCount="39">
  <si>
    <t>Student_1</t>
  </si>
  <si>
    <t>Student_2</t>
  </si>
  <si>
    <t>Student_3</t>
  </si>
  <si>
    <t>Student_4</t>
  </si>
  <si>
    <t>Student_5</t>
  </si>
  <si>
    <t>Student_6</t>
  </si>
  <si>
    <t>Student_7</t>
  </si>
  <si>
    <t>Student_8</t>
  </si>
  <si>
    <t>Student_9</t>
  </si>
  <si>
    <t>Student_10</t>
  </si>
  <si>
    <t>Statistic</t>
  </si>
  <si>
    <t>Value</t>
  </si>
  <si>
    <t>NAME</t>
  </si>
  <si>
    <t>SCORE</t>
  </si>
  <si>
    <t>Mean</t>
  </si>
  <si>
    <t>Median</t>
  </si>
  <si>
    <t>Mode</t>
  </si>
  <si>
    <t>Count</t>
  </si>
  <si>
    <t>Sum</t>
  </si>
  <si>
    <t>Max</t>
  </si>
  <si>
    <t>Min</t>
  </si>
  <si>
    <t>What is the average test score of the class?</t>
  </si>
  <si>
    <t>What does the median tell you compared to the mean?</t>
  </si>
  <si>
    <t>Median is 88, slightly higher than the mean. This tells us the middle point of data is higher than average and indicates that few lower scores may slightly pull the average down. Because two numbers are close, data is relatively well-balanced w/o extreme skewness.</t>
  </si>
  <si>
    <t>Which score appeared most frequently?</t>
  </si>
  <si>
    <t>What is the range (Max – Min)?</t>
  </si>
  <si>
    <t>Max - Min =</t>
  </si>
  <si>
    <t>If a new student scored 45, how would that affect the mean vs. the median?</t>
  </si>
  <si>
    <t>It'd lower the mean, significantly. Cause is, mean is highly sensitive to extreme outliers &amp; pulls toward them. Nonetheless, it'd have very li'l effect on the median because median is resistant to extreme values only and only if it tracks physical middle pos of the ordered data.</t>
  </si>
  <si>
    <t>Ana</t>
  </si>
  <si>
    <t>Ben</t>
  </si>
  <si>
    <t>Clara</t>
  </si>
  <si>
    <t>David</t>
  </si>
  <si>
    <t>Elena</t>
  </si>
  <si>
    <t>Student</t>
  </si>
  <si>
    <t>Score</t>
  </si>
  <si>
    <t>Formula</t>
  </si>
  <si>
    <t>Summation</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</si>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</sst>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4">
    <fill>
      <patternFill patternType="none"/>
    </fill>
    <fill>
      <patternFill patternType="gray125"/>
    </fill>
    <fill>
      <patternFill patternType="solid">
        <fgColor theme="7"/>
        <bgColor indexed="64"/>
      </patternFill>
    </fill>
    <fill>
      <patternFill patternType="solid">
        <fgColor theme="5"/>
        <bgColor indexed="64"/>
      </patternFill>
    </fill>
  </fills>
  <borders count="9">
    <border>
      <left/>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2" borderId="1" xfId="0" applyFont="1" applyFill="1" applyBorder="1" applyAlignment="1">
      <alignment vertical="center"/>
    </xf>
    <xf numFmtId="0" fontId="0" fillId="2" borderId="2" xfId="0" applyFont="1" applyFill="1" applyBorder="1" applyAlignment="1">
      <alignment vertical="center"/>
    </xf>
    <xf numFmtId="0" fontId="0" fillId="2" borderId="3" xfId="0" applyFont="1"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6" xfId="0" applyFill="1" applyBorder="1" applyAlignment="1">
      <alignment vertical="center"/>
    </xf>
    <xf numFmtId="0" fontId="0" fillId="3" borderId="7" xfId="0" applyFill="1" applyBorder="1" applyAlignment="1">
      <alignment horizontal="center" vertical="center"/>
    </xf>
    <xf numFmtId="0" fontId="0" fillId="3" borderId="8" xfId="0" applyFill="1" applyBorder="1" applyAlignment="1">
      <alignment horizontal="center" vertical="center"/>
    </xf>
  </cellXfs>
  <cellStyles count="1">
    <cellStyle name="Normal" xfId="0" builtinId="0"/>
  </cellStyles>
  <dxfs count="2">
    <dxf>
      <alignment horizontal="center"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482B9D-6F00-4E9C-B1D5-095DD485BD58}" name="Table1" displayName="Table1" ref="A1:B6" totalsRowShown="0">
  <autoFilter ref="A1:B6" xr:uid="{A7482B9D-6F00-4E9C-B1D5-095DD485BD58}"/>
  <tableColumns count="2">
    <tableColumn id="1" xr3:uid="{9DB1914E-74F0-4F40-9919-14CC0F73DBB6}" name="Student" dataDxfId="1"/>
    <tableColumn id="2" xr3:uid="{4E5F59EC-F60A-4CAC-A078-22D18CEE9341}" name="Scor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B3DC1-8FD3-4554-B400-DF5EB1E6BBF1}">
  <dimension ref="A1:I11"/>
  <sheetViews>
    <sheetView topLeftCell="A2" zoomScaleNormal="100" workbookViewId="0">
      <selection activeCell="G29" sqref="G29"/>
    </sheetView>
  </sheetViews>
  <sheetFormatPr defaultRowHeight="15" x14ac:dyDescent="0.25"/>
  <cols>
    <col min="1" max="1" width="11" bestFit="1" customWidth="1"/>
    <col min="2" max="2" width="6.7109375" bestFit="1" customWidth="1"/>
    <col min="4" max="4" width="8" bestFit="1" customWidth="1"/>
    <col min="5" max="5" width="29.7109375" customWidth="1"/>
    <col min="6" max="6" width="8.85546875" customWidth="1"/>
    <col min="7" max="7" width="69.7109375" bestFit="1" customWidth="1"/>
    <col min="8" max="8" width="12" customWidth="1"/>
  </cols>
  <sheetData>
    <row r="1" spans="1:9" x14ac:dyDescent="0.25">
      <c r="A1" t="s">
        <v>12</v>
      </c>
      <c r="B1" t="s">
        <v>13</v>
      </c>
      <c r="D1" t="s">
        <v>10</v>
      </c>
      <c r="E1" t="s">
        <v>11</v>
      </c>
    </row>
    <row r="2" spans="1:9" x14ac:dyDescent="0.25">
      <c r="A2" t="s">
        <v>0</v>
      </c>
      <c r="B2">
        <v>85</v>
      </c>
      <c r="D2" t="s">
        <v>14</v>
      </c>
      <c r="E2">
        <f>AVERAGE(B2:B11)</f>
        <v>86.2</v>
      </c>
      <c r="G2" t="s">
        <v>21</v>
      </c>
      <c r="H2">
        <f>E2</f>
        <v>86.2</v>
      </c>
    </row>
    <row r="3" spans="1:9" x14ac:dyDescent="0.25">
      <c r="A3" t="s">
        <v>1</v>
      </c>
      <c r="B3">
        <v>92</v>
      </c>
      <c r="D3" t="s">
        <v>15</v>
      </c>
      <c r="E3">
        <f>MEDIAN(B2:B11)</f>
        <v>88</v>
      </c>
      <c r="G3" t="s">
        <v>22</v>
      </c>
      <c r="H3" t="s">
        <v>23</v>
      </c>
    </row>
    <row r="4" spans="1:9" x14ac:dyDescent="0.25">
      <c r="A4" t="s">
        <v>2</v>
      </c>
      <c r="B4">
        <v>78</v>
      </c>
      <c r="D4" t="s">
        <v>16</v>
      </c>
      <c r="E4">
        <f>_xlfn.MODE.SNGL(B2:B11)</f>
        <v>90</v>
      </c>
      <c r="G4" t="s">
        <v>24</v>
      </c>
      <c r="H4">
        <f>E3</f>
        <v>88</v>
      </c>
      <c r="I4">
        <f>E4</f>
        <v>90</v>
      </c>
    </row>
    <row r="5" spans="1:9" x14ac:dyDescent="0.25">
      <c r="A5" t="s">
        <v>3</v>
      </c>
      <c r="B5">
        <v>90</v>
      </c>
      <c r="D5" t="s">
        <v>17</v>
      </c>
      <c r="E5">
        <f>COUNT(B2:B11)</f>
        <v>10</v>
      </c>
      <c r="G5" t="s">
        <v>25</v>
      </c>
      <c r="H5" t="s">
        <v>26</v>
      </c>
      <c r="I5">
        <f>E7-E8</f>
        <v>23</v>
      </c>
    </row>
    <row r="6" spans="1:9" x14ac:dyDescent="0.25">
      <c r="A6" t="s">
        <v>4</v>
      </c>
      <c r="B6">
        <v>88</v>
      </c>
      <c r="D6" t="s">
        <v>18</v>
      </c>
      <c r="E6">
        <f>SUM(B2:B11)</f>
        <v>862</v>
      </c>
      <c r="G6" t="s">
        <v>27</v>
      </c>
      <c r="H6" t="s">
        <v>28</v>
      </c>
    </row>
    <row r="7" spans="1:9" x14ac:dyDescent="0.25">
      <c r="A7" t="s">
        <v>5</v>
      </c>
      <c r="B7">
        <v>95</v>
      </c>
      <c r="D7" t="s">
        <v>19</v>
      </c>
      <c r="E7">
        <f>MAX(B2:B11)</f>
        <v>95</v>
      </c>
    </row>
    <row r="8" spans="1:9" x14ac:dyDescent="0.25">
      <c r="A8" t="s">
        <v>6</v>
      </c>
      <c r="B8">
        <v>72</v>
      </c>
      <c r="D8" t="s">
        <v>20</v>
      </c>
      <c r="E8">
        <f>MIN(B2:B11)</f>
        <v>72</v>
      </c>
    </row>
    <row r="9" spans="1:9" x14ac:dyDescent="0.25">
      <c r="A9" t="s">
        <v>7</v>
      </c>
      <c r="B9">
        <v>88</v>
      </c>
    </row>
    <row r="10" spans="1:9" x14ac:dyDescent="0.25">
      <c r="A10" t="s">
        <v>8</v>
      </c>
      <c r="B10">
        <v>90</v>
      </c>
    </row>
    <row r="11" spans="1:9" x14ac:dyDescent="0.25">
      <c r="A11" t="s">
        <v>9</v>
      </c>
      <c r="B11">
        <v>84</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B544E-5201-49FC-BE19-9E6FD9413988}">
  <dimension ref="A1:E6"/>
  <sheetViews>
    <sheetView tabSelected="1" zoomScale="179" workbookViewId="0">
      <selection activeCell="D5" sqref="D5"/>
    </sheetView>
  </sheetViews>
  <sheetFormatPr defaultRowHeight="15" x14ac:dyDescent="0.25"/>
  <cols>
    <col min="1" max="1" width="16.7109375" style="2" customWidth="1"/>
    <col min="2" max="2" width="13.85546875" style="2" customWidth="1"/>
    <col min="3" max="3" width="9.140625" style="2"/>
    <col min="4" max="4" width="11.140625" style="2" bestFit="1" customWidth="1"/>
    <col min="5" max="16384" width="9.140625" style="2"/>
  </cols>
  <sheetData>
    <row r="1" spans="1:5" ht="15.75" thickBot="1" x14ac:dyDescent="0.3">
      <c r="A1" s="3" t="s">
        <v>34</v>
      </c>
      <c r="B1" s="1" t="s">
        <v>35</v>
      </c>
      <c r="D1" s="10" t="s">
        <v>36</v>
      </c>
      <c r="E1" s="11"/>
    </row>
    <row r="2" spans="1:5" x14ac:dyDescent="0.25">
      <c r="A2" s="2" t="s">
        <v>29</v>
      </c>
      <c r="B2" s="1">
        <v>85</v>
      </c>
      <c r="D2" s="7" t="s">
        <v>37</v>
      </c>
      <c r="E2" s="4">
        <f>SUM(Table1[Score])</f>
        <v>433</v>
      </c>
    </row>
    <row r="3" spans="1:5" x14ac:dyDescent="0.25">
      <c r="A3" s="2" t="s">
        <v>30</v>
      </c>
      <c r="B3" s="1">
        <v>92</v>
      </c>
      <c r="D3" s="8" t="s">
        <v>17</v>
      </c>
      <c r="E3" s="5">
        <f>COUNT(Table1[Score])</f>
        <v>5</v>
      </c>
    </row>
    <row r="4" spans="1:5" ht="15.75" thickBot="1" x14ac:dyDescent="0.3">
      <c r="A4" s="2" t="s">
        <v>31</v>
      </c>
      <c r="B4" s="1">
        <v>78</v>
      </c>
      <c r="D4" s="9" t="s">
        <v>38</v>
      </c>
      <c r="E4" s="6">
        <f>AVERAGE(Table1[Score])</f>
        <v>86.6</v>
      </c>
    </row>
    <row r="5" spans="1:5" x14ac:dyDescent="0.25">
      <c r="A5" s="2" t="s">
        <v>32</v>
      </c>
      <c r="B5" s="1">
        <v>90</v>
      </c>
    </row>
    <row r="6" spans="1:5" x14ac:dyDescent="0.25">
      <c r="A6" s="2" t="s">
        <v>33</v>
      </c>
      <c r="B6" s="1">
        <v>88</v>
      </c>
    </row>
  </sheetData>
  <mergeCells count="1">
    <mergeCell ref="D1:E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Cryz Bernard Gonzales</dc:creator>
  <cp:lastModifiedBy>Cryz Bernard Gonzales</cp:lastModifiedBy>
  <dcterms:created xsi:type="dcterms:W3CDTF">2026-06-30T00:38:20Z</dcterms:created>
  <dcterms:modified xsi:type="dcterms:W3CDTF">2026-06-30T11:17:55Z</dcterms:modified>
</cp:coreProperties>
</file>